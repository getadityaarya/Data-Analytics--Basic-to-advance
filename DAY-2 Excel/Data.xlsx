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Arya\OneDrive\Documents\DA\Excel\"/>
    </mc:Choice>
  </mc:AlternateContent>
  <xr:revisionPtr revIDLastSave="0" documentId="13_ncr:1_{67BB1540-8515-4E94-BE4D-B465056B6EF5}" xr6:coauthVersionLast="47" xr6:coauthVersionMax="47" xr10:uidLastSave="{00000000-0000-0000-0000-000000000000}"/>
  <bookViews>
    <workbookView xWindow="-110" yWindow="-110" windowWidth="19420" windowHeight="10300" tabRatio="758" activeTab="1" xr2:uid="{10ED541B-D810-48D9-8873-13405BB93166}"/>
  </bookViews>
  <sheets>
    <sheet name="Sheet1" sheetId="2" r:id="rId1"/>
    <sheet name="Sheet2" sheetId="1" r:id="rId2"/>
    <sheet name="Sample Data" sheetId="3" r:id="rId3"/>
    <sheet name="Sheet5" sheetId="7" r:id="rId4"/>
    <sheet name="Sheet3" sheetId="8" r:id="rId5"/>
    <sheet name="pivot" sheetId="4" r:id="rId6"/>
  </sheets>
  <definedNames>
    <definedName name="_xlnm._FilterDatabase" localSheetId="5" hidden="1">pivot!$D$1:$D$31</definedName>
  </definedNames>
  <calcPr calcId="191029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11" i="2"/>
  <c r="F36" i="3" a="1"/>
  <c r="F36" i="3" s="1"/>
  <c r="F35" i="3"/>
  <c r="J83" i="2"/>
  <c r="J82" i="2"/>
  <c r="J71" i="2"/>
  <c r="J77" i="2"/>
  <c r="J75" i="2"/>
  <c r="J74" i="2"/>
  <c r="F34" i="3"/>
  <c r="J52" i="2"/>
  <c r="J34" i="2"/>
  <c r="J81" i="2"/>
  <c r="J80" i="2"/>
  <c r="J7" i="2"/>
  <c r="J79" i="2"/>
  <c r="J78" i="2"/>
  <c r="J76" i="2"/>
  <c r="J69" i="2" a="1"/>
  <c r="J69" i="2" s="1"/>
  <c r="J68" i="2"/>
  <c r="J67" i="2" a="1"/>
  <c r="J67" i="2" s="1"/>
  <c r="J62" i="2" a="1"/>
  <c r="J62" i="2" s="1"/>
  <c r="J60" i="2" a="1"/>
  <c r="J60" i="2" s="1"/>
  <c r="J59" i="2"/>
  <c r="J58" i="2"/>
  <c r="J57" i="2" a="1"/>
  <c r="J57" i="2" s="1"/>
  <c r="J56" i="2" a="1"/>
  <c r="J56" i="2" s="1"/>
  <c r="J51" i="2"/>
  <c r="J50" i="2"/>
  <c r="J45" i="2"/>
  <c r="J44" i="2"/>
  <c r="K44" i="2" s="1"/>
  <c r="J41" i="2"/>
  <c r="J40" i="2"/>
  <c r="J39" i="2"/>
  <c r="J38" i="2"/>
  <c r="J37" i="2"/>
  <c r="J36" i="2"/>
  <c r="J35" i="2"/>
  <c r="J33" i="2"/>
  <c r="J32" i="2"/>
  <c r="J27" i="2"/>
  <c r="J26" i="2"/>
  <c r="J25" i="2"/>
  <c r="P10" i="2"/>
  <c r="P9" i="2"/>
  <c r="P8" i="2"/>
  <c r="P7" i="2"/>
  <c r="P6" i="2"/>
  <c r="P5" i="2"/>
  <c r="P4" i="2"/>
  <c r="P3" i="2"/>
  <c r="P11" i="2"/>
  <c r="J24" i="2"/>
  <c r="M10" i="2"/>
  <c r="M9" i="2"/>
  <c r="M8" i="2"/>
  <c r="M7" i="2"/>
  <c r="M6" i="2"/>
  <c r="M5" i="2"/>
  <c r="M4" i="2"/>
  <c r="M3" i="2"/>
  <c r="M11" i="2"/>
  <c r="J23" i="2"/>
  <c r="J22" i="2"/>
  <c r="J21" i="2"/>
  <c r="J20" i="2"/>
  <c r="L10" i="2"/>
  <c r="L9" i="2"/>
  <c r="L8" i="2"/>
  <c r="L7" i="2"/>
  <c r="L6" i="2"/>
  <c r="L5" i="2"/>
  <c r="L4" i="2"/>
  <c r="L3" i="2"/>
  <c r="L11" i="2"/>
  <c r="K10" i="2"/>
  <c r="K9" i="2"/>
  <c r="K8" i="2"/>
  <c r="K7" i="2"/>
  <c r="K6" i="2"/>
  <c r="K5" i="2"/>
  <c r="K4" i="2"/>
  <c r="K3" i="2"/>
  <c r="K11" i="2"/>
  <c r="J19" i="2"/>
  <c r="J18" i="2"/>
  <c r="J10" i="2"/>
  <c r="J9" i="2"/>
  <c r="J8" i="2"/>
  <c r="J6" i="2"/>
  <c r="J5" i="2"/>
  <c r="J4" i="2"/>
  <c r="F13" i="2" a="1"/>
  <c r="F13" i="2" s="1"/>
  <c r="F42" i="3" a="1"/>
  <c r="F42" i="3" s="1"/>
  <c r="D37" i="3"/>
  <c r="J49" i="2" l="1"/>
  <c r="J48" i="2"/>
  <c r="J47" i="2"/>
  <c r="J46" i="2"/>
  <c r="J5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<sst xmlns="http://schemas.openxmlformats.org/spreadsheetml/2006/main" count="744" uniqueCount="474">
  <si>
    <t>1. Logical Functions</t>
  </si>
  <si>
    <t>Formula Description</t>
  </si>
  <si>
    <t>Formula Example</t>
  </si>
  <si>
    <t>Check if Salary is above 50,000</t>
  </si>
  <si>
    <t>Check if Age is greater than or equal to 30</t>
  </si>
  <si>
    <t>Check if Gender is Male or Female</t>
  </si>
  <si>
    <t>Multiple conditions: Check if Age is above 30 and Salary is above 45,000</t>
  </si>
  <si>
    <t>Check if Start Date is before 01-01-2000</t>
  </si>
  <si>
    <t>Determine if Job Title is "Data Analyst"</t>
  </si>
  <si>
    <t>Nested IF: Determine Salary Category</t>
  </si>
  <si>
    <t>Check if Employee worked for more than 10 years (Start vs. End Date)</t>
  </si>
  <si>
    <t>Determine if Employee is Male and over 30</t>
  </si>
  <si>
    <t>Check if Last Name contains "koli"</t>
  </si>
  <si>
    <t>2. Mathematical Functions</t>
  </si>
  <si>
    <t>Calculate Total Salary of All Employees</t>
  </si>
  <si>
    <t>Calculate the Age difference between the oldest and youngest employee</t>
  </si>
  <si>
    <t>Increase all Salaries by 10%</t>
  </si>
  <si>
    <t>Calculate yearly Salary</t>
  </si>
  <si>
    <t>Subtract the lowest Salary from the highest Salary</t>
  </si>
  <si>
    <t>Add 5 to every Employee's Age</t>
  </si>
  <si>
    <t>Find Salary difference from average Salary</t>
  </si>
  <si>
    <t>Sum of Salaries of Male Employees Only</t>
  </si>
  <si>
    <t>Count of Employees with Salary &gt; 50,000</t>
  </si>
  <si>
    <t>Calculate the Total Age of all Employees</t>
  </si>
  <si>
    <t>3. Statistical Functions</t>
  </si>
  <si>
    <t>Find the Average Salary of All Employees</t>
  </si>
  <si>
    <t>Find the Maximum Salary</t>
  </si>
  <si>
    <t>Find the Minimum Salary</t>
  </si>
  <si>
    <t>Count Total Employees</t>
  </si>
  <si>
    <t>Count Female Employees</t>
  </si>
  <si>
    <t>Find Median of Salaries</t>
  </si>
  <si>
    <t>Calculate Standard Deviation of Salaries</t>
  </si>
  <si>
    <t>Determine the Range of Salaries (Max - Min)</t>
  </si>
  <si>
    <t>Count Employees with Age &gt; 30</t>
  </si>
  <si>
    <t>Find Mode of Ages</t>
  </si>
  <si>
    <t>4. Text Functions for Data Manipulation</t>
  </si>
  <si>
    <t>Concatenate First Name and Last Name</t>
  </si>
  <si>
    <t>Extract First Three Characters of First Name</t>
  </si>
  <si>
    <t>Extract Last Four Characters of Last Name</t>
  </si>
  <si>
    <t>Convert First Name to Uppercase</t>
  </si>
  <si>
    <t>Convert Last Name to Lowercase</t>
  </si>
  <si>
    <t>Find Length of First Name</t>
  </si>
  <si>
    <t>Replace "Engineer" with "Engg." in Job Titles</t>
  </si>
  <si>
    <t>Find Position of "a" in Last Name</t>
  </si>
  <si>
    <t>Trim Spaces in First Name</t>
  </si>
  <si>
    <t>Combine First Name and Job Title with Custom Separator</t>
  </si>
  <si>
    <t>5. Array Formulas</t>
  </si>
  <si>
    <t>Find Total Salaries for Male and Female Employees (Two Results)</t>
  </si>
  <si>
    <t>{=SUMIF(E2:E10,{"Male","Female"},H2:H10)}</t>
  </si>
  <si>
    <t>Calculate Salary*Age for all Employees and Sum it</t>
  </si>
  <si>
    <t>{=SUM(H2:H10*D2:D10)}</t>
  </si>
  <si>
    <t>{=MAX(IF(E2:E10="Male",D2:D10))}</t>
  </si>
  <si>
    <t>Check if each Employee’s Age is above 30 and return TRUE/FALSE</t>
  </si>
  <si>
    <t>{=D2:D10&gt;30}</t>
  </si>
  <si>
    <t>Find Unique Job Titles</t>
  </si>
  <si>
    <t>{=UNIQUE(F2:F10)}</t>
  </si>
  <si>
    <t>Filter Female Employees Only</t>
  </si>
  <si>
    <t>{=FILTER(A2:I10,E2:E10="Female")}</t>
  </si>
  <si>
    <t>Calculate Average Salary of Female Employees</t>
  </si>
  <si>
    <t>{=AVERAGE(IF(E2:E10="Female",H2:H10))}</t>
  </si>
  <si>
    <t>Determine the Start Year of each Employee</t>
  </si>
  <si>
    <t>{=YEAR(G2:G10)}</t>
  </si>
  <si>
    <t>Sort Employees by Salary (Descending Order)</t>
  </si>
  <si>
    <t>{=SORT(H2:H10,-1)}</t>
  </si>
  <si>
    <t>Match EmployeeID to First Name</t>
  </si>
  <si>
    <t>{=INDEX(B2:B10,MATCH(101,A2:A10,0))}</t>
  </si>
  <si>
    <t>{=IF(E2="Male","M","F")}</t>
  </si>
  <si>
    <t>{=IF(AND(D2&gt;30,H2&gt;45000),"Eligible","Not Eligible")}</t>
  </si>
  <si>
    <t>{=IF(G2&lt;DATE(2000,1,1),"Old Employee","New Employee")}</t>
  </si>
  <si>
    <t>{=IF(F2="Data analyst","Yes","No")}</t>
  </si>
  <si>
    <t>{=IF(H2&gt;60000,"Top Tier",IF(H2&gt;45000,"Mid Tier","Low Tier"))}</t>
  </si>
  <si>
    <t>{=IF(YEAR(I2)-YEAR(G2)&gt;=10,"Experienced","Less Experienced")}</t>
  </si>
  <si>
    <t>{=IF(AND(E2="Male",D2&gt;30),"Male Senior","Other")}</t>
  </si>
  <si>
    <t>{=IF(ISNUMBER(SEARCH("koli",C2)),"Contains","Doesn't Contain")}</t>
  </si>
  <si>
    <t>{=SUM(H2:H10)}</t>
  </si>
  <si>
    <t>{=MAX(D2:D10)-MIN(D2:D10)}</t>
  </si>
  <si>
    <t>{=H2*1.1}</t>
  </si>
  <si>
    <t>{=H2*12}</t>
  </si>
  <si>
    <t>{=MAX(H2:H10)-MIN(H2:H10)}</t>
  </si>
  <si>
    <t>{=D2+5}</t>
  </si>
  <si>
    <t>{=H2-AVERAGE(H2:H10)}</t>
  </si>
  <si>
    <t>{=SUMIF(E2:E10,"Male",H2:H10)}</t>
  </si>
  <si>
    <t>{=COUNTIF(H2:H10,"&gt;50000")}</t>
  </si>
  <si>
    <t>{=SUM(D2:D10)}</t>
  </si>
  <si>
    <t>{=AVERAGE(H2:H10)}</t>
  </si>
  <si>
    <t>{=MAX(H2:H10)}</t>
  </si>
  <si>
    <t>{=MIN(H2:H10)}</t>
  </si>
  <si>
    <t>{=COUNTA(A2:A10)}</t>
  </si>
  <si>
    <t>{=COUNTIF(E2:E10,"Female")}</t>
  </si>
  <si>
    <t>{=MEDIAN(H2:H10)}</t>
  </si>
  <si>
    <t>{=STDEV(H2:H10)}</t>
  </si>
  <si>
    <t>{=COUNTIF(D2:D10,"&gt;30")}</t>
  </si>
  <si>
    <t>{=MODE(D2:D10)}</t>
  </si>
  <si>
    <t>{=CONCAT(B2," ",C2)}</t>
  </si>
  <si>
    <t>{=LEFT(B2,3)}</t>
  </si>
  <si>
    <t>{=RIGHT(C2,4)}</t>
  </si>
  <si>
    <t>{=UPPER(B2)}</t>
  </si>
  <si>
    <t>{=LOWER(C2)}</t>
  </si>
  <si>
    <t>{=LEN(B2)}</t>
  </si>
  <si>
    <t>{=SUBSTITUTE(F2,"Engineer","Engg.")}</t>
  </si>
  <si>
    <t>{=FIND("a",C2)}</t>
  </si>
  <si>
    <t>{=TRIM(B2)}</t>
  </si>
  <si>
    <t>{=TEXTJOIN(" - ",TRUE,B2,F2)}</t>
  </si>
  <si>
    <t>{=IF(G2:G10&gt;50000,"High","Low")}</t>
  </si>
  <si>
    <t>{=IF(D2:D10&gt;=30,"Senior","Junior")}</t>
  </si>
  <si>
    <t>VLOOKUP</t>
  </si>
  <si>
    <t>{=VLOOKUP(101,A2:I10,3,FALSE)}</t>
  </si>
  <si>
    <t>Find the last name of the employee with EmployeeID 101.</t>
  </si>
  <si>
    <t>{=VLOOKUP(103,A2:I10,6,FALSE)}</t>
  </si>
  <si>
    <t>Get the job title of the employee with EmployeeID 103.</t>
  </si>
  <si>
    <t>{=VLOOKUP(106,A2:I10,7,FALSE)}</t>
  </si>
  <si>
    <t>Retrieve the salary of the employee with EmployeeID 106.</t>
  </si>
  <si>
    <t>{=VLOOKUP(102,A2:I10,5,FALSE)}</t>
  </si>
  <si>
    <t>Identify the gender of the employee with EmployeeID 102.</t>
  </si>
  <si>
    <t>{=VLOOKUP(105,A2:I10,8,FALSE)}</t>
  </si>
  <si>
    <t>Find the start date of the employee with EmployeeID 105.</t>
  </si>
  <si>
    <t>{=VLOOKUP(107,A2:I10,9,FALSE)}</t>
  </si>
  <si>
    <t>Retrieve the end date of the employee with EmployeeID 107.</t>
  </si>
  <si>
    <t>{=VLOOKUP(108,A2:I10,4,FALSE)}</t>
  </si>
  <si>
    <t>Get the age of the employee with EmployeeID 108.</t>
  </si>
  <si>
    <t>{=VLOOKUP(109,A2:I10,6,FALSE)}</t>
  </si>
  <si>
    <t>Fetch the job title of the employee with EmployeeID 109.</t>
  </si>
  <si>
    <t>{=VLOOKUP(104,A2:I10,7,FALSE)}</t>
  </si>
  <si>
    <t>Get the salary of the employee with EmployeeID 104.</t>
  </si>
  <si>
    <t>{=VLOOKUP(103,A2:I10,5,FALSE)}</t>
  </si>
  <si>
    <t>Find the gender of the employee with EmployeeID 103.</t>
  </si>
  <si>
    <t>HLOOKUP</t>
  </si>
  <si>
    <t>{=HLOOKUP("Age",A1:I10,3,FALSE)}</t>
  </si>
  <si>
    <t>Fetch the age of the employee in the 3rd row.</t>
  </si>
  <si>
    <t>{=HLOOKUP("Gender",A1:I10,5,FALSE)}</t>
  </si>
  <si>
    <t>Get the gender of the employee in the 5th row.</t>
  </si>
  <si>
    <t>{=HLOOKUP("Salary",A1:I10,4,FALSE)}</t>
  </si>
  <si>
    <t>Retrieve the salary of the employee in the 4th row.</t>
  </si>
  <si>
    <t>{=HLOOKUP("JobTitle",A1:I10,2,FALSE)}</t>
  </si>
  <si>
    <t>Fetch the job title of the employee in the 2nd row.</t>
  </si>
  <si>
    <t>{=HLOOKUP("StartDate",A1:I10,3,FALSE)}</t>
  </si>
  <si>
    <t>Get the start date of the employee in the 3rd row.</t>
  </si>
  <si>
    <t>{=HLOOKUP("EndDate",A1:I10,6,FALSE)}</t>
  </si>
  <si>
    <t>Retrieve the end date of the employee in the 6th row.</t>
  </si>
  <si>
    <t>{=HLOOKUP("FirstName",A1:I10,4,FALSE)}</t>
  </si>
  <si>
    <t>Fetch the first name of the employee in the 4th row.</t>
  </si>
  <si>
    <t>{=HLOOKUP("EmployeeID",A1:I10,2,FALSE)}</t>
  </si>
  <si>
    <t>Get the EmployeeID of the employee in the 2nd row.</t>
  </si>
  <si>
    <t>{=HLOOKUP("LastName",A1:I10,5,FALSE)}</t>
  </si>
  <si>
    <t>Retrieve the last name of the employee in the 5th row.</t>
  </si>
  <si>
    <t>{=HLOOKUP("Age",A1:I10,4,FALSE)}</t>
  </si>
  <si>
    <t>Fetch the age of the employee in the 4th row.</t>
  </si>
  <si>
    <t>XLOOKUP</t>
  </si>
  <si>
    <t>{=XLOOKUP(101,A2:A10,C2:C10)}</t>
  </si>
  <si>
    <t>{=XLOOKUP(103,A2:A10,F2:F10)}</t>
  </si>
  <si>
    <t>Retrieve the job title of the employee with EmployeeID 103.</t>
  </si>
  <si>
    <t>{=XLOOKUP(105,A2:A10,H2:H10)}</t>
  </si>
  <si>
    <t>Get the salary of the employee with EmployeeID 105.</t>
  </si>
  <si>
    <t>{=XLOOKUP("Male",E2:E10,A2:A10)}</t>
  </si>
  <si>
    <t>Find the EmployeeID of the first male employee.</t>
  </si>
  <si>
    <t>{=XLOOKUP("Female",E2:E10,B2:B10)}</t>
  </si>
  <si>
    <t>Get the first name of the first female employee.</t>
  </si>
  <si>
    <t>{=XLOOKUP(104,A2:A10,I2:I10)}</t>
  </si>
  <si>
    <t>Retrieve the end date of the employee with EmployeeID 104.</t>
  </si>
  <si>
    <t>{=XLOOKUP(109,A2:A10,G2:G10)}</t>
  </si>
  <si>
    <t>Fetch the start date of the employee with EmployeeID 109.</t>
  </si>
  <si>
    <t>{=XLOOKUP("Research analyst",F2:F10,C2:C10)}</t>
  </si>
  <si>
    <t>Get the last name of the first employee with the job title "Research analyst."</t>
  </si>
  <si>
    <t>{=XLOOKUP("Data analyst",F2:F10,A2:A10)}</t>
  </si>
  <si>
    <t>Find the EmployeeID of the first employee with the job title "Data analyst."</t>
  </si>
  <si>
    <t>{=XLOOKUP("Accountant",F2:F10,H2:H10)}</t>
  </si>
  <si>
    <t>Retrieve the salary of the first employee with the job title "Accountant."</t>
  </si>
  <si>
    <t>INDEX</t>
  </si>
  <si>
    <t>{=INDEX(B2:B10,3)}</t>
  </si>
  <si>
    <t>Fetch the first name of the 3rd employee in the dataset.</t>
  </si>
  <si>
    <t>{=INDEX(F2:F10,5)}</t>
  </si>
  <si>
    <t>Retrieve the job title of the 5th employee.</t>
  </si>
  <si>
    <t>{=INDEX(H2:H10,7)}</t>
  </si>
  <si>
    <t>Get the salary of the 7th employee.</t>
  </si>
  <si>
    <t>{=INDEX(D2:D10,4)}</t>
  </si>
  <si>
    <t>Fetch the age of the 4th employee.</t>
  </si>
  <si>
    <t>{=INDEX(A2:A10,2)}</t>
  </si>
  <si>
    <t>Retrieve the EmployeeID of the 2nd employee.</t>
  </si>
  <si>
    <t>{=INDEX(E2:E10,6)}</t>
  </si>
  <si>
    <t>Get the gender of the 6th employee.</t>
  </si>
  <si>
    <t>{=INDEX(G2:G10,8)}</t>
  </si>
  <si>
    <t>Fetch the start date of the 8th employee.</t>
  </si>
  <si>
    <t>{=INDEX(I2:I10,1)}</t>
  </si>
  <si>
    <t>Retrieve the end date of the 1st employee.</t>
  </si>
  <si>
    <t>{=INDEX(C2:C10,3)}</t>
  </si>
  <si>
    <t>Fetch the last name of the 3rd employee.</t>
  </si>
  <si>
    <t>{=INDEX(F2:F10,9)}</t>
  </si>
  <si>
    <t>Get the job title of the 9th employee.</t>
  </si>
  <si>
    <t>MATCH</t>
  </si>
  <si>
    <t>{=MATCH(101,A2:A10,0)}</t>
  </si>
  <si>
    <t>Find the position of EmployeeID 101 in the dataset.</t>
  </si>
  <si>
    <t>{=MATCH("Software Engineer",F2:F10,0)}</t>
  </si>
  <si>
    <t>Find the position of "Software Engineer" in the job title column.</t>
  </si>
  <si>
    <t>{=MATCH(63000,H2:H10,0)}</t>
  </si>
  <si>
    <t>Find the position of the salary 63,000 in the salary column.</t>
  </si>
  <si>
    <t>{=MATCH(30,D2:D10,0)}</t>
  </si>
  <si>
    <t>Locate the position of the age 30 in the age column.</t>
  </si>
  <si>
    <t>{=MATCH("Female",E2:E10,0)}</t>
  </si>
  <si>
    <t>Find the position of "Female" in the gender column.</t>
  </si>
  <si>
    <t>{=MATCH("koli",C2:C10,0)}</t>
  </si>
  <si>
    <t>Find the position of "koli" in the last name column.</t>
  </si>
  <si>
    <t>{=MATCH("HR",F2:F10,0)}</t>
  </si>
  <si>
    <t>Locate the position of "HR" in the job title column.</t>
  </si>
  <si>
    <t>{=MATCH("11-02-2001",G2:G10,0)}</t>
  </si>
  <si>
    <t>Find the position of the start date "11-02-2001."</t>
  </si>
  <si>
    <t>{=MATCH("BDE",F2:F10,0)}</t>
  </si>
  <si>
    <t>Locate the position of "BDE" in the job title column.</t>
  </si>
  <si>
    <t>{=MATCH(47000,H2:H10,0)}</t>
  </si>
  <si>
    <t>Find the position of the salary 47,000 in the salary column.</t>
  </si>
  <si>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</si>
  <si>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</si>
  <si>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</si>
  <si>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</si>
  <si>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</si>
  <si>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</si>
  <si>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</si>
  <si>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</si>
  <si>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koli</t>
  </si>
  <si>
    <t>Male</t>
  </si>
  <si>
    <t>Data analyst</t>
  </si>
  <si>
    <t>neha</t>
  </si>
  <si>
    <t>shinde</t>
  </si>
  <si>
    <t>Female</t>
  </si>
  <si>
    <t>Software Engineer</t>
  </si>
  <si>
    <t>rahul</t>
  </si>
  <si>
    <t>bansal</t>
  </si>
  <si>
    <t>Research analyst</t>
  </si>
  <si>
    <t>rohit</t>
  </si>
  <si>
    <t>bawiskar</t>
  </si>
  <si>
    <t>Accountant</t>
  </si>
  <si>
    <t>jagruti</t>
  </si>
  <si>
    <t>AI engineer</t>
  </si>
  <si>
    <t>pawan</t>
  </si>
  <si>
    <t>vispute</t>
  </si>
  <si>
    <t>sahil</t>
  </si>
  <si>
    <t>khan</t>
  </si>
  <si>
    <t>anuskha</t>
  </si>
  <si>
    <t>BDE</t>
  </si>
  <si>
    <t>4/22/2015</t>
  </si>
  <si>
    <t>sanika</t>
  </si>
  <si>
    <t>thete</t>
  </si>
  <si>
    <t>HR</t>
  </si>
  <si>
    <t>9/14/2011</t>
  </si>
  <si>
    <t>{}</t>
  </si>
  <si>
    <t>EndDate-1</t>
  </si>
  <si>
    <t>08-30-2017</t>
  </si>
  <si>
    <t>Find the Maximum Age of Male and Female Employees</t>
  </si>
  <si>
    <t>S.No.</t>
  </si>
  <si>
    <t>president</t>
  </si>
  <si>
    <t>prior</t>
  </si>
  <si>
    <t>party</t>
  </si>
  <si>
    <t>vice</t>
  </si>
  <si>
    <t>salary</t>
  </si>
  <si>
    <t>date updated</t>
  </si>
  <si>
    <t>Nonpartisan</t>
  </si>
  <si>
    <t>Federalist</t>
  </si>
  <si>
    <t>Gerek Peoples</t>
  </si>
  <si>
    <t>VP Marketing</t>
  </si>
  <si>
    <t>Democratic-Republican</t>
  </si>
  <si>
    <t>Agnesse Olrenshaw</t>
  </si>
  <si>
    <t>Ibbie Harold</t>
  </si>
  <si>
    <t>Media Manager IV</t>
  </si>
  <si>
    <t>Sal Watsam</t>
  </si>
  <si>
    <t>Matteo Pally</t>
  </si>
  <si>
    <t>Computer Systems Analyst I</t>
  </si>
  <si>
    <t>Roldan Burnage</t>
  </si>
  <si>
    <t>Wakefield Regus</t>
  </si>
  <si>
    <t>Registered Nurse</t>
  </si>
  <si>
    <t>Maurizio Adhams</t>
  </si>
  <si>
    <t>Pablo MacGillivray</t>
  </si>
  <si>
    <t>Accountant IV</t>
  </si>
  <si>
    <t>Ebonee Hutsby</t>
  </si>
  <si>
    <t>Kristyn Esmond</t>
  </si>
  <si>
    <t>Account Executive</t>
  </si>
  <si>
    <t>Kerrie Chowne</t>
  </si>
  <si>
    <t>Hobard MacDonald</t>
  </si>
  <si>
    <t>Senior Editor</t>
  </si>
  <si>
    <t>Findley Van Der Weedenburg</t>
  </si>
  <si>
    <t>Farleigh Stoffler</t>
  </si>
  <si>
    <t>Cost Accountant</t>
  </si>
  <si>
    <t>Denney Steen</t>
  </si>
  <si>
    <t>Rhianon Beaman</t>
  </si>
  <si>
    <t>Environmental Specialist</t>
  </si>
  <si>
    <t>Ezekiel Riall</t>
  </si>
  <si>
    <t>Jacques Eccleston</t>
  </si>
  <si>
    <t>Chief Design Engineer</t>
  </si>
  <si>
    <t>Cherilyn Haynes</t>
  </si>
  <si>
    <t>Sansone Jordi</t>
  </si>
  <si>
    <t>VP Accounting</t>
  </si>
  <si>
    <t>Meyer Fooks</t>
  </si>
  <si>
    <t>Afton Sandiford</t>
  </si>
  <si>
    <t>Administrative Assistant IV</t>
  </si>
  <si>
    <t>Judas Youell</t>
  </si>
  <si>
    <t>Chadwick Gaynor</t>
  </si>
  <si>
    <t>Tax Accountant</t>
  </si>
  <si>
    <t>Jerrylee Galiford</t>
  </si>
  <si>
    <t>Felice Marrian</t>
  </si>
  <si>
    <t>VP Sales</t>
  </si>
  <si>
    <t>Dahlia Slaght</t>
  </si>
  <si>
    <t>Thomasin Besnardeau</t>
  </si>
  <si>
    <t>Berkie Maciocia</t>
  </si>
  <si>
    <t>Jacynth Shyre</t>
  </si>
  <si>
    <t>Research Associate</t>
  </si>
  <si>
    <t>Sayre Fawcitt</t>
  </si>
  <si>
    <t>Ashby Schimoni</t>
  </si>
  <si>
    <t>Legal Assistant</t>
  </si>
  <si>
    <t>Rafaellle Spittles</t>
  </si>
  <si>
    <t>Ebony Yoskowitz</t>
  </si>
  <si>
    <t>Help Desk Technician</t>
  </si>
  <si>
    <t>Barnaby Stables</t>
  </si>
  <si>
    <t>Hermina Klaesson</t>
  </si>
  <si>
    <t>Gabby Bonass</t>
  </si>
  <si>
    <t>Tailor Lode</t>
  </si>
  <si>
    <t>Willette Sappson</t>
  </si>
  <si>
    <t>Nobie Buddleigh</t>
  </si>
  <si>
    <t>Quality Engineer</t>
  </si>
  <si>
    <t>Emilia Danilchik</t>
  </si>
  <si>
    <t>Durward Stanlike</t>
  </si>
  <si>
    <t>Pharmacist</t>
  </si>
  <si>
    <t>Nannette Beeching</t>
  </si>
  <si>
    <t>Saraann Almond</t>
  </si>
  <si>
    <t>Actuary</t>
  </si>
  <si>
    <t>Tedd Dran</t>
  </si>
  <si>
    <t>Van Sawfoot</t>
  </si>
  <si>
    <t>Engineer I</t>
  </si>
  <si>
    <t>Gracia Clayhill</t>
  </si>
  <si>
    <t>Leontine Faulks</t>
  </si>
  <si>
    <t>Senior Quality Engineer</t>
  </si>
  <si>
    <t>Margeaux Pagin</t>
  </si>
  <si>
    <t>Cornell Ponder</t>
  </si>
  <si>
    <t>Human Resources Assistant I</t>
  </si>
  <si>
    <t>Lacey Tanswell</t>
  </si>
  <si>
    <t>Luke Joska</t>
  </si>
  <si>
    <t>Graphic Designer</t>
  </si>
  <si>
    <t>Janeczka Pechold</t>
  </si>
  <si>
    <t>Zia Campes</t>
  </si>
  <si>
    <t>Gil Rising</t>
  </si>
  <si>
    <t>Freddy Meader</t>
  </si>
  <si>
    <t>Software Consultant</t>
  </si>
  <si>
    <t>Worthington Waples</t>
  </si>
  <si>
    <t>Dari Iacovuzzi</t>
  </si>
  <si>
    <t>Product Engineer</t>
  </si>
  <si>
    <t>Bernhard Krelle</t>
  </si>
  <si>
    <t>Emp ID</t>
  </si>
  <si>
    <t>Date</t>
  </si>
  <si>
    <t>Salesman</t>
  </si>
  <si>
    <t>Product</t>
  </si>
  <si>
    <t>Qty</t>
  </si>
  <si>
    <t>Department</t>
  </si>
  <si>
    <t>State</t>
  </si>
  <si>
    <t>Sales</t>
  </si>
  <si>
    <t>Saw</t>
  </si>
  <si>
    <t>Caviar - Salmon</t>
  </si>
  <si>
    <t>Music</t>
  </si>
  <si>
    <t>C1</t>
  </si>
  <si>
    <t>Findley</t>
  </si>
  <si>
    <t>Wine - Red, Metus Rose</t>
  </si>
  <si>
    <t>Outdoors</t>
  </si>
  <si>
    <t>Seth</t>
  </si>
  <si>
    <t>Bread - Raisin Walnut Oval</t>
  </si>
  <si>
    <t>Home</t>
  </si>
  <si>
    <t>AZ</t>
  </si>
  <si>
    <t>Tadd</t>
  </si>
  <si>
    <t>Pickerel - Fillets</t>
  </si>
  <si>
    <t>Rey</t>
  </si>
  <si>
    <t>Nantucket Orange Juice</t>
  </si>
  <si>
    <t>Tools</t>
  </si>
  <si>
    <t>Teodoro</t>
  </si>
  <si>
    <t>Compound - Pear</t>
  </si>
  <si>
    <t>Automotive</t>
  </si>
  <si>
    <t>Vinnie</t>
  </si>
  <si>
    <t>Wine - Dubouef Macon - Villages</t>
  </si>
  <si>
    <t>Books</t>
  </si>
  <si>
    <t>Averill</t>
  </si>
  <si>
    <t>Appetizer - Mushroom Tart</t>
  </si>
  <si>
    <t>Industrial</t>
  </si>
  <si>
    <t>Travers</t>
  </si>
  <si>
    <t>Pastry - Baked Cinnamon Stick</t>
  </si>
  <si>
    <t>Toys</t>
  </si>
  <si>
    <t>Daffi</t>
  </si>
  <si>
    <t>Pepper - White, Whole</t>
  </si>
  <si>
    <t>Health</t>
  </si>
  <si>
    <t>Ros</t>
  </si>
  <si>
    <t>Bread - 10 Grain Parisian</t>
  </si>
  <si>
    <t>Weidar</t>
  </si>
  <si>
    <t>Pears - Anjou</t>
  </si>
  <si>
    <t>Clothing</t>
  </si>
  <si>
    <t>Daisy</t>
  </si>
  <si>
    <t>Bread - Sour Batard</t>
  </si>
  <si>
    <t>Baxy</t>
  </si>
  <si>
    <t>Capon - Whole</t>
  </si>
  <si>
    <t>Janna</t>
  </si>
  <si>
    <t>Cassis</t>
  </si>
  <si>
    <t>Shoes</t>
  </si>
  <si>
    <t>Lewie</t>
  </si>
  <si>
    <t>Pasta - Rotini, Colour, Dry</t>
  </si>
  <si>
    <t>Computers</t>
  </si>
  <si>
    <t>Michele</t>
  </si>
  <si>
    <t>Ginger - Pickled</t>
  </si>
  <si>
    <t>Movies</t>
  </si>
  <si>
    <t>Aeriell</t>
  </si>
  <si>
    <t>Bols Melon Liqueur</t>
  </si>
  <si>
    <t>Roana</t>
  </si>
  <si>
    <t>Doilies - 8, Paper</t>
  </si>
  <si>
    <t>Sports</t>
  </si>
  <si>
    <t>Jamesy</t>
  </si>
  <si>
    <t>Wine - Trimbach Pinot Blanc</t>
  </si>
  <si>
    <t>Beauty</t>
  </si>
  <si>
    <t>Guntar</t>
  </si>
  <si>
    <t>Wine - Puligny Montrachet A.</t>
  </si>
  <si>
    <t>Electronics</t>
  </si>
  <si>
    <t>Ignacio</t>
  </si>
  <si>
    <t>Hersh</t>
  </si>
  <si>
    <t>Cocoa Powder - Dutched</t>
  </si>
  <si>
    <t>Grocery</t>
  </si>
  <si>
    <t>Phillip</t>
  </si>
  <si>
    <t>Lettuce - Treviso</t>
  </si>
  <si>
    <t>Neda</t>
  </si>
  <si>
    <t>Flax Seed</t>
  </si>
  <si>
    <t>Carole</t>
  </si>
  <si>
    <t>Port - 74 Brights</t>
  </si>
  <si>
    <t>Stavros</t>
  </si>
  <si>
    <t>Roe - Lump Fish, Red</t>
  </si>
  <si>
    <t>Wendell</t>
  </si>
  <si>
    <t>Canadian Emmenthal</t>
  </si>
  <si>
    <t>Guthrie</t>
  </si>
  <si>
    <t>Fish - Base, Bouillion</t>
  </si>
  <si>
    <t>Jewelry</t>
  </si>
  <si>
    <t>Vivyanne</t>
  </si>
  <si>
    <t>Almonds Ground Blanched</t>
  </si>
  <si>
    <t xml:space="preserve"> </t>
  </si>
  <si>
    <t>{=IF(G2:G10&gt;50000,"HIgh","Low")}</t>
  </si>
  <si>
    <t>{=IF(E2:E10="Male","True","False")}</t>
  </si>
  <si>
    <t>{=IF(AND(D2&gt;30,G2&gt;45000),"Eli","No-Eli")}</t>
  </si>
  <si>
    <t>{=IF(H2:H10&lt;DATE(2000,1,1),"OLD","Fresher")}</t>
  </si>
  <si>
    <t>{###}</t>
  </si>
  <si>
    <t>Average</t>
  </si>
  <si>
    <t xml:space="preserve">Trim </t>
  </si>
  <si>
    <t>Total Of     Salary</t>
  </si>
  <si>
    <t>IF Stamtents</t>
  </si>
  <si>
    <t>If statement</t>
  </si>
  <si>
    <t>Imp If</t>
  </si>
  <si>
    <t>And if</t>
  </si>
  <si>
    <t>IF((YEAR(I2)-YEAR(H2))&lt;18,"Exp","Noob")</t>
  </si>
  <si>
    <t>Salary(*1.1)</t>
  </si>
  <si>
    <t>Per annum</t>
  </si>
  <si>
    <t>Age(After 5 years)</t>
  </si>
  <si>
    <t>Salary-AVG</t>
  </si>
  <si>
    <r>
      <rPr>
        <b/>
        <sz val="16"/>
        <color theme="1"/>
        <rFont val="Calibri"/>
        <family val="2"/>
        <scheme val="minor"/>
      </rPr>
      <t>3.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Statistical Functions</t>
    </r>
  </si>
  <si>
    <t>Mathematical funtion</t>
  </si>
  <si>
    <t>Proper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</si>
  <si>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</si>
  <si>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</si>
  <si>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</si>
  <si>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</si>
  <si>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</si>
  <si>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</si>
  <si>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</si>
  <si>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</si>
  <si>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</si>
  <si>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</si>
  <si>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</si>
  <si>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</si>
  <si>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</si>
  <si>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</si>
  <si>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</si>
  <si>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</si>
  <si>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</si>
  <si>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Row Labels</t>
  </si>
  <si>
    <t>Grand Total</t>
  </si>
  <si>
    <t>Sum of Sales</t>
  </si>
  <si>
    <t>Aditya Arya</t>
  </si>
  <si>
    <t>aditya</t>
  </si>
  <si>
    <t>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</si>
</sst>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  <font>
      <sz val="16"/>
      <color theme="1"/>
      <name val="Calibri"/>
      <family val="2"/>
      <scheme val="minor"/>
    </font>
    <font>
      <b/>
      <sz val="14"/>
      <color theme="1"/>
      <name val="Arial Unicode MS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12" applyNumberFormat="0" applyAlignment="0" applyProtection="0"/>
    <xf numFmtId="0" fontId="9" fillId="6" borderId="13" applyNumberFormat="0" applyFont="0" applyAlignment="0" applyProtection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2" fontId="4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14" fontId="0" fillId="0" borderId="0" xfId="0" applyNumberFormat="1"/>
    <xf numFmtId="14" fontId="6" fillId="0" borderId="0" xfId="0" applyNumberFormat="1" applyFont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4" fillId="0" borderId="0" xfId="0" applyNumberFormat="1" applyFont="1" applyAlignment="1">
      <alignment horizontal="right"/>
    </xf>
    <xf numFmtId="0" fontId="6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8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14" fontId="4" fillId="0" borderId="11" xfId="0" applyNumberFormat="1" applyFont="1" applyBorder="1" applyAlignment="1">
      <alignment horizontal="left"/>
    </xf>
    <xf numFmtId="0" fontId="0" fillId="0" borderId="0" xfId="0" pivotButton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/>
    <xf numFmtId="0" fontId="7" fillId="0" borderId="5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NumberFormat="1"/>
    <xf numFmtId="0" fontId="11" fillId="3" borderId="1" xfId="2" applyBorder="1"/>
    <xf numFmtId="0" fontId="12" fillId="4" borderId="1" xfId="3" applyBorder="1"/>
    <xf numFmtId="0" fontId="13" fillId="5" borderId="12" xfId="4"/>
    <xf numFmtId="0" fontId="8" fillId="6" borderId="13" xfId="5" applyFont="1"/>
    <xf numFmtId="0" fontId="10" fillId="2" borderId="1" xfId="1" applyBorder="1" applyAlignment="1">
      <alignment horizontal="center"/>
    </xf>
    <xf numFmtId="0" fontId="10" fillId="2" borderId="1" xfId="1" applyBorder="1" applyAlignment="1">
      <alignment horizontal="left"/>
    </xf>
    <xf numFmtId="0" fontId="10" fillId="2" borderId="1" xfId="1" applyBorder="1" applyAlignment="1">
      <alignment horizontal="center" vertical="center"/>
    </xf>
  </cellXfs>
  <cellStyles count="6">
    <cellStyle name="Bad" xfId="2" builtinId="27"/>
    <cellStyle name="Calculation" xfId="4" builtinId="22"/>
    <cellStyle name="Good" xfId="1" builtinId="26"/>
    <cellStyle name="Neutral" xfId="3" builtinId="28"/>
    <cellStyle name="Normal" xfId="0" builtinId="0"/>
    <cellStyle name="Note" xfId="5" builtinId="10"/>
  </cellStyles>
  <dxfs count="20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890AC208-7F08-4FDA-98A7-776A8E446E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[Data.xlsx]Sheet5!PivotTable7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Sheet5!$A$4:$A$9</c:f>
              <c:strCache>
                <c:ptCount val="5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1005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27225</c:v>
                </c:pt>
                <c:pt idx="1">
                  <c:v>16421</c:v>
                </c:pt>
                <c:pt idx="2">
                  <c:v>13179</c:v>
                </c:pt>
                <c:pt idx="3">
                  <c:v>23306</c:v>
                </c:pt>
                <c:pt idx="4">
                  <c:v>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5-4A45-B0B4-090E968CF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Sheet3!$A$4:$A$22</c:f>
              <c:strCache>
                <c:ptCount val="18"/>
                <c:pt idx="0">
                  <c:v>Automotive</c:v>
                </c:pt>
                <c:pt idx="1">
                  <c:v>Beauty</c:v>
                </c:pt>
                <c:pt idx="2">
                  <c:v>Books</c:v>
                </c:pt>
                <c:pt idx="3">
                  <c:v>Clothing</c:v>
                </c:pt>
                <c:pt idx="4">
                  <c:v>Computers</c:v>
                </c:pt>
                <c:pt idx="5">
                  <c:v>Electronics</c:v>
                </c:pt>
                <c:pt idx="6">
                  <c:v>Grocery</c:v>
                </c:pt>
                <c:pt idx="7">
                  <c:v>Health</c:v>
                </c:pt>
                <c:pt idx="8">
                  <c:v>Home</c:v>
                </c:pt>
                <c:pt idx="9">
                  <c:v>Industrial</c:v>
                </c:pt>
                <c:pt idx="10">
                  <c:v>Jewelry</c:v>
                </c:pt>
                <c:pt idx="11">
                  <c:v>Movies</c:v>
                </c:pt>
                <c:pt idx="12">
                  <c:v>Music</c:v>
                </c:pt>
                <c:pt idx="13">
                  <c:v>Outdoors</c:v>
                </c:pt>
                <c:pt idx="14">
                  <c:v>Shoes</c:v>
                </c:pt>
                <c:pt idx="15">
                  <c:v>Sports</c:v>
                </c:pt>
                <c:pt idx="16">
                  <c:v>Tools</c:v>
                </c:pt>
                <c:pt idx="17">
                  <c:v>Toys</c:v>
                </c:pt>
              </c:strCache>
            </c:strRef>
          </c:cat>
          <c:val>
            <c:numRef>
              <c:f>Sheet3!$B$4:$B$22</c:f>
              <c:numCache>
                <c:formatCode>General</c:formatCode>
                <c:ptCount val="18"/>
                <c:pt idx="0">
                  <c:v>2931</c:v>
                </c:pt>
                <c:pt idx="1">
                  <c:v>3748</c:v>
                </c:pt>
                <c:pt idx="2">
                  <c:v>8763</c:v>
                </c:pt>
                <c:pt idx="3">
                  <c:v>8595</c:v>
                </c:pt>
                <c:pt idx="4">
                  <c:v>5946</c:v>
                </c:pt>
                <c:pt idx="5">
                  <c:v>2801</c:v>
                </c:pt>
                <c:pt idx="6">
                  <c:v>9037</c:v>
                </c:pt>
                <c:pt idx="7">
                  <c:v>2308</c:v>
                </c:pt>
                <c:pt idx="8">
                  <c:v>3718</c:v>
                </c:pt>
                <c:pt idx="9">
                  <c:v>6651</c:v>
                </c:pt>
                <c:pt idx="10">
                  <c:v>2790</c:v>
                </c:pt>
                <c:pt idx="11">
                  <c:v>3433</c:v>
                </c:pt>
                <c:pt idx="12">
                  <c:v>3559</c:v>
                </c:pt>
                <c:pt idx="13">
                  <c:v>8559</c:v>
                </c:pt>
                <c:pt idx="14">
                  <c:v>3313</c:v>
                </c:pt>
                <c:pt idx="15">
                  <c:v>3091</c:v>
                </c:pt>
                <c:pt idx="16">
                  <c:v>6822</c:v>
                </c:pt>
                <c:pt idx="17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4-4F37-9863-B56D0A696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9889792"/>
        <c:axId val="919878272"/>
        <c:axId val="0"/>
      </c:bar3DChart>
      <c:catAx>
        <c:axId val="91988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78272"/>
        <c:crosses val="autoZero"/>
        <c:auto val="1"/>
        <c:lblAlgn val="ctr"/>
        <c:lblOffset val="100"/>
        <c:noMultiLvlLbl val="0"/>
      </c:catAx>
      <c:valAx>
        <c:axId val="91987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8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3" Type="http://schemas.openxmlformats.org/officeDocument/2006/relationships/customXml" Target="../ink/ink2.xml"/><Relationship Id="rId7" Type="http://schemas.openxmlformats.org/officeDocument/2006/relationships/customXml" Target="../ink/ink5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5" Type="http://schemas.openxmlformats.org/officeDocument/2006/relationships/image" Target="../media/image2.png"/><Relationship Id="rId4" Type="http://schemas.openxmlformats.org/officeDocument/2006/relationships/customXml" Target="../ink/ink3.xml"/><Relationship Id="rId9" Type="http://schemas.openxmlformats.org/officeDocument/2006/relationships/customXml" Target="../ink/ink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586560</xdr:colOff>
      <xdr:row>1</xdr:row>
      <xdr:rowOff>129600</xdr:rowOff>
    </xdr:from>
    <xdr:to>
      <xdr:col>5</xdr:col>
      <xdr:colOff>586920</xdr:colOff>
      <xdr:row>1</xdr:row>
      <xdr:rowOff>129960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EFB049A-021B-458F-85F9-178A41039E03}"/>
                </a:ext>
              </a:extLst>
            </xdr14:cNvPr>
            <xdr14:cNvContentPartPr/>
          </xdr14:nvContentPartPr>
          <xdr14:nvPr macro=""/>
          <xdr14:xfrm>
            <a:off x="3634560" y="12960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4620379-501A-5DC3-5F24-D8460EBFEB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28440" y="123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</xdr:col>
      <xdr:colOff>586560</xdr:colOff>
      <xdr:row>13</xdr:row>
      <xdr:rowOff>129600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6D02383-D0ED-4434-896E-A103930621B9}"/>
                </a:ext>
              </a:extLst>
            </xdr14:cNvPr>
            <xdr14:cNvContentPartPr/>
          </xdr14:nvContentPartPr>
          <xdr14:nvPr macro=""/>
          <xdr14:xfrm>
            <a:off x="3634560" y="12960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4620379-501A-5DC3-5F24-D8460EBFEB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28440" y="123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</xdr:col>
      <xdr:colOff>1013220</xdr:colOff>
      <xdr:row>11</xdr:row>
      <xdr:rowOff>98940</xdr:rowOff>
    </xdr:from>
    <xdr:to>
      <xdr:col>5</xdr:col>
      <xdr:colOff>1013580</xdr:colOff>
      <xdr:row>11</xdr:row>
      <xdr:rowOff>99300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529E5EB-DE89-3DD8-E801-A968600388C4}"/>
                </a:ext>
              </a:extLst>
            </xdr14:cNvPr>
            <xdr14:cNvContentPartPr/>
          </xdr14:nvContentPartPr>
          <xdr14:nvPr macro=""/>
          <xdr14:xfrm>
            <a:off x="5745240" y="303264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529E5EB-DE89-3DD8-E801-A968600388C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739120" y="30265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136980</xdr:colOff>
      <xdr:row>17</xdr:row>
      <xdr:rowOff>30540</xdr:rowOff>
    </xdr:from>
    <xdr:to>
      <xdr:col>5</xdr:col>
      <xdr:colOff>137340</xdr:colOff>
      <xdr:row>17</xdr:row>
      <xdr:rowOff>30900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C2DBF5D-9BC1-EB4B-3734-7D72C5071CFB}"/>
                </a:ext>
              </a:extLst>
            </xdr14:cNvPr>
            <xdr14:cNvContentPartPr/>
          </xdr14:nvContentPartPr>
          <xdr14:nvPr macro=""/>
          <xdr14:xfrm>
            <a:off x="4869000" y="456444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C2DBF5D-9BC1-EB4B-3734-7D72C5071CF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862880" y="4558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647700</xdr:colOff>
      <xdr:row>12</xdr:row>
      <xdr:rowOff>228600</xdr:rowOff>
    </xdr:from>
    <xdr:to>
      <xdr:col>1</xdr:col>
      <xdr:colOff>648060</xdr:colOff>
      <xdr:row>12</xdr:row>
      <xdr:rowOff>228960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6C19499-015E-0985-E0A8-4C5D8F2C2961}"/>
                </a:ext>
              </a:extLst>
            </xdr14:cNvPr>
            <xdr14:cNvContentPartPr/>
          </xdr14:nvContentPartPr>
          <xdr14:nvPr macro=""/>
          <xdr14:xfrm>
            <a:off x="1737360" y="342900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6C19499-015E-0985-E0A8-4C5D8F2C296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31240" y="3422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152100</xdr:colOff>
      <xdr:row>2</xdr:row>
      <xdr:rowOff>160080</xdr:rowOff>
    </xdr:from>
    <xdr:to>
      <xdr:col>2</xdr:col>
      <xdr:colOff>152460</xdr:colOff>
      <xdr:row>2</xdr:row>
      <xdr:rowOff>160440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2AAE4EE3-C4BC-195C-096C-AD1AFBAAAB5D}"/>
                </a:ext>
              </a:extLst>
            </xdr14:cNvPr>
            <xdr14:cNvContentPartPr/>
          </xdr14:nvContentPartPr>
          <xdr14:nvPr macro=""/>
          <xdr14:xfrm>
            <a:off x="2186640" y="282708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AAE4EE3-C4BC-195C-096C-AD1AFBAAAB5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80520" y="2820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296880</xdr:colOff>
      <xdr:row>15</xdr:row>
      <xdr:rowOff>22860</xdr:rowOff>
    </xdr:from>
    <xdr:to>
      <xdr:col>7</xdr:col>
      <xdr:colOff>297240</xdr:colOff>
      <xdr:row>15</xdr:row>
      <xdr:rowOff>23220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D39951A-8D66-82D6-42E3-C00C08361205}"/>
                </a:ext>
              </a:extLst>
            </xdr14:cNvPr>
            <xdr14:cNvContentPartPr/>
          </xdr14:nvContentPartPr>
          <xdr14:nvPr macro=""/>
          <xdr14:xfrm>
            <a:off x="7490160" y="402336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D39951A-8D66-82D6-42E3-C00C0836120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484040" y="4017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146050</xdr:colOff>
      <xdr:row>3</xdr:row>
      <xdr:rowOff>44450</xdr:rowOff>
    </xdr:from>
    <xdr:to>
      <xdr:col>14</xdr:col>
      <xdr:colOff>222250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53B4B-B65A-ADDE-9B8D-F6E47EC13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349250</xdr:colOff>
      <xdr:row>2</xdr:row>
      <xdr:rowOff>44450</xdr:rowOff>
    </xdr:from>
    <xdr:to>
      <xdr:col>10</xdr:col>
      <xdr:colOff>533400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DBE4B8-FD96-6242-EE43-5CEA8E434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7T16:27:20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7T22:42:03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5T05:38:31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24575,'-1'0'-8191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5T05:38:51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5T05:38:52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5T05:38:57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5T05:39:16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Arya" refreshedDate="45999.492651504632" createdVersion="8" refreshedVersion="8" minRefreshableVersion="3" recordCount="30" xr:uid="{3868ADF5-7843-42AF-AFB1-0CBEA425908A}">
  <cacheSource type="worksheet">
    <worksheetSource name="Table2"/>
  </cacheSource>
  <cacheFields count="10">
    <cacheField name="Emp ID" numFmtId="0">
      <sharedItems containsSemiMixedTypes="0" containsString="0" containsNumber="1" containsInteger="1" minValue="1001" maxValue="1005" count="5">
        <n v="1004"/>
        <n v="1003"/>
        <n v="1001"/>
        <n v="1002"/>
        <n v="1005"/>
      </sharedItems>
    </cacheField>
    <cacheField name="Date" numFmtId="14">
      <sharedItems containsSemiMixedTypes="0" containsNonDate="0" containsDate="1" containsString="0" minDate="2022-01-09T00:00:00" maxDate="2022-04-10T00:00:00" count="4">
        <d v="2022-02-09T00:00:00"/>
        <d v="2022-04-09T00:00:00"/>
        <d v="2022-03-09T00:00:00"/>
        <d v="2022-01-09T00:00:00"/>
      </sharedItems>
      <fieldGroup par="9"/>
    </cacheField>
    <cacheField name="Salesman" numFmtId="0">
      <sharedItems/>
    </cacheField>
    <cacheField name="Product" numFmtId="0">
      <sharedItems count="29">
        <s v="Caviar - Salmon"/>
        <s v="Wine - Red, Metus Rose"/>
        <s v="Bread - Raisin Walnut Oval"/>
        <s v="Pickerel - Fillets"/>
        <s v="Nantucket Orange Juice"/>
        <s v="Compound - Pear"/>
        <s v="Wine - Dubouef Macon - Villages"/>
        <s v="Appetizer - Mushroom Tart"/>
        <s v="Pastry - Baked Cinnamon Stick"/>
        <s v="Pepper - White, Whole"/>
        <s v="Bread - 10 Grain Parisian"/>
        <s v="Pears - Anjou"/>
        <s v="Bread - Sour Batard"/>
        <s v="Capon - Whole"/>
        <s v="Cassis"/>
        <s v="Pasta - Rotini, Colour, Dry"/>
        <s v="Ginger - Pickled"/>
        <s v="Bols Melon Liqueur"/>
        <s v="Doilies - 8, Paper"/>
        <s v="Wine - Trimbach Pinot Blanc"/>
        <s v="Wine - Puligny Montrachet A."/>
        <s v="Cocoa Powder - Dutched"/>
        <s v="Lettuce - Treviso"/>
        <s v="Flax Seed"/>
        <s v="Port - 74 Brights"/>
        <s v="Roe - Lump Fish, Red"/>
        <s v="Canadian Emmenthal"/>
        <s v="Fish - Base, Bouillion"/>
        <s v="Almonds Ground Blanched"/>
      </sharedItems>
    </cacheField>
    <cacheField name="Qty" numFmtId="0">
      <sharedItems containsSemiMixedTypes="0" containsString="0" containsNumber="1" containsInteger="1" minValue="5" maxValue="95"/>
    </cacheField>
    <cacheField name="Department" numFmtId="0">
      <sharedItems count="18">
        <s v="Music"/>
        <s v="Outdoors"/>
        <s v="Home"/>
        <s v="Tools"/>
        <s v="Automotive"/>
        <s v="Books"/>
        <s v="Industrial"/>
        <s v="Toys"/>
        <s v="Health"/>
        <s v="Clothing"/>
        <s v="Shoes"/>
        <s v="Computers"/>
        <s v="Movies"/>
        <s v="Sports"/>
        <s v="Beauty"/>
        <s v="Electronics"/>
        <s v="Grocery"/>
        <s v="Jewelry"/>
      </sharedItems>
    </cacheField>
    <cacheField name="State" numFmtId="0">
      <sharedItems count="2">
        <s v="C1"/>
        <s v="AZ"/>
      </sharedItems>
    </cacheField>
    <cacheField name="Sales" numFmtId="0">
      <sharedItems containsSemiMixedTypes="0" containsString="0" containsNumber="1" containsInteger="1" minValue="2014" maxValue="4000" count="30">
        <n v="3559"/>
        <n v="2979"/>
        <n v="3718"/>
        <n v="3566"/>
        <n v="3620"/>
        <n v="2931"/>
        <n v="2727"/>
        <n v="2086"/>
        <n v="4000"/>
        <n v="2308"/>
        <n v="3428"/>
        <n v="3289"/>
        <n v="3202"/>
        <n v="2069"/>
        <n v="3313"/>
        <n v="3176"/>
        <n v="3433"/>
        <n v="2496"/>
        <n v="3091"/>
        <n v="3748"/>
        <n v="2801"/>
        <n v="2947"/>
        <n v="2851"/>
        <n v="2014"/>
        <n v="2359"/>
        <n v="2608"/>
        <n v="2770"/>
        <n v="2229"/>
        <n v="2790"/>
        <n v="3957"/>
      </sharedItems>
    </cacheField>
    <cacheField name="Days (Date)" numFmtId="0" databaseField="0">
      <fieldGroup base="1">
        <rangePr groupBy="days" startDate="2022-01-09T00:00:00" endDate="2022-04-10T00:00:00"/>
        <groupItems count="368">
          <s v="&lt;09-01-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-04-2022"/>
        </groupItems>
      </fieldGroup>
    </cacheField>
    <cacheField name="Months (Date)" numFmtId="0" databaseField="0">
      <fieldGroup base="1">
        <rangePr groupBy="months" startDate="2022-01-09T00:00:00" endDate="2022-04-10T00:00:00"/>
        <groupItems count="14">
          <s v="&lt;09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-04-2022"/>
        </groupItems>
      </fieldGroup>
    </cacheField>
  </cacheFields>
  <extLst>
    <ext xmlns:x14="http://schemas.microsoft.com/office/spreadsheetml/2009/9/main" uri="{725AE2AE-9491-48be-B2B4-4EB974FC3084}">
      <x14:pivotCacheDefinition pivotCacheId="13677114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s v="Saw"/>
    <x v="0"/>
    <n v="59"/>
    <x v="0"/>
    <x v="0"/>
    <x v="0"/>
  </r>
  <r>
    <x v="0"/>
    <x v="1"/>
    <s v="Findley"/>
    <x v="1"/>
    <n v="65"/>
    <x v="1"/>
    <x v="0"/>
    <x v="1"/>
  </r>
  <r>
    <x v="1"/>
    <x v="2"/>
    <s v="Seth"/>
    <x v="2"/>
    <n v="64"/>
    <x v="2"/>
    <x v="1"/>
    <x v="2"/>
  </r>
  <r>
    <x v="0"/>
    <x v="0"/>
    <s v="Tadd"/>
    <x v="3"/>
    <n v="6"/>
    <x v="1"/>
    <x v="1"/>
    <x v="3"/>
  </r>
  <r>
    <x v="0"/>
    <x v="3"/>
    <s v="Rey"/>
    <x v="4"/>
    <n v="30"/>
    <x v="3"/>
    <x v="0"/>
    <x v="4"/>
  </r>
  <r>
    <x v="2"/>
    <x v="3"/>
    <s v="Teodoro"/>
    <x v="5"/>
    <n v="81"/>
    <x v="4"/>
    <x v="0"/>
    <x v="5"/>
  </r>
  <r>
    <x v="2"/>
    <x v="1"/>
    <s v="Vinnie"/>
    <x v="6"/>
    <n v="73"/>
    <x v="5"/>
    <x v="0"/>
    <x v="6"/>
  </r>
  <r>
    <x v="3"/>
    <x v="0"/>
    <s v="Averill"/>
    <x v="7"/>
    <n v="72"/>
    <x v="6"/>
    <x v="0"/>
    <x v="7"/>
  </r>
  <r>
    <x v="2"/>
    <x v="0"/>
    <s v="Travers"/>
    <x v="8"/>
    <n v="79"/>
    <x v="7"/>
    <x v="1"/>
    <x v="8"/>
  </r>
  <r>
    <x v="3"/>
    <x v="3"/>
    <s v="Daffi"/>
    <x v="9"/>
    <n v="19"/>
    <x v="8"/>
    <x v="1"/>
    <x v="9"/>
  </r>
  <r>
    <x v="3"/>
    <x v="1"/>
    <s v="Ros"/>
    <x v="10"/>
    <n v="8"/>
    <x v="5"/>
    <x v="0"/>
    <x v="10"/>
  </r>
  <r>
    <x v="0"/>
    <x v="2"/>
    <s v="Weidar"/>
    <x v="11"/>
    <n v="25"/>
    <x v="9"/>
    <x v="1"/>
    <x v="11"/>
  </r>
  <r>
    <x v="0"/>
    <x v="2"/>
    <s v="Daisy"/>
    <x v="12"/>
    <n v="50"/>
    <x v="3"/>
    <x v="0"/>
    <x v="12"/>
  </r>
  <r>
    <x v="1"/>
    <x v="0"/>
    <s v="Baxy"/>
    <x v="13"/>
    <n v="8"/>
    <x v="6"/>
    <x v="1"/>
    <x v="13"/>
  </r>
  <r>
    <x v="2"/>
    <x v="3"/>
    <s v="Janna"/>
    <x v="14"/>
    <n v="86"/>
    <x v="10"/>
    <x v="0"/>
    <x v="14"/>
  </r>
  <r>
    <x v="2"/>
    <x v="1"/>
    <s v="Lewie"/>
    <x v="15"/>
    <n v="21"/>
    <x v="11"/>
    <x v="0"/>
    <x v="15"/>
  </r>
  <r>
    <x v="2"/>
    <x v="1"/>
    <s v="Michele"/>
    <x v="16"/>
    <n v="26"/>
    <x v="12"/>
    <x v="1"/>
    <x v="16"/>
  </r>
  <r>
    <x v="2"/>
    <x v="3"/>
    <s v="Aeriell"/>
    <x v="17"/>
    <n v="42"/>
    <x v="6"/>
    <x v="1"/>
    <x v="17"/>
  </r>
  <r>
    <x v="0"/>
    <x v="3"/>
    <s v="Roana"/>
    <x v="18"/>
    <n v="43"/>
    <x v="13"/>
    <x v="0"/>
    <x v="18"/>
  </r>
  <r>
    <x v="4"/>
    <x v="1"/>
    <s v="Jamesy"/>
    <x v="19"/>
    <n v="10"/>
    <x v="14"/>
    <x v="0"/>
    <x v="19"/>
  </r>
  <r>
    <x v="3"/>
    <x v="0"/>
    <s v="Guntar"/>
    <x v="20"/>
    <n v="87"/>
    <x v="15"/>
    <x v="0"/>
    <x v="20"/>
  </r>
  <r>
    <x v="3"/>
    <x v="2"/>
    <s v="Ignacio"/>
    <x v="10"/>
    <n v="69"/>
    <x v="9"/>
    <x v="0"/>
    <x v="21"/>
  </r>
  <r>
    <x v="3"/>
    <x v="0"/>
    <s v="Hersh"/>
    <x v="21"/>
    <n v="46"/>
    <x v="16"/>
    <x v="0"/>
    <x v="22"/>
  </r>
  <r>
    <x v="1"/>
    <x v="1"/>
    <s v="Phillip"/>
    <x v="22"/>
    <n v="75"/>
    <x v="1"/>
    <x v="1"/>
    <x v="23"/>
  </r>
  <r>
    <x v="2"/>
    <x v="0"/>
    <s v="Neda"/>
    <x v="23"/>
    <n v="5"/>
    <x v="9"/>
    <x v="1"/>
    <x v="24"/>
  </r>
  <r>
    <x v="1"/>
    <x v="0"/>
    <s v="Carole"/>
    <x v="24"/>
    <n v="95"/>
    <x v="5"/>
    <x v="1"/>
    <x v="25"/>
  </r>
  <r>
    <x v="1"/>
    <x v="1"/>
    <s v="Stavros"/>
    <x v="25"/>
    <n v="30"/>
    <x v="11"/>
    <x v="1"/>
    <x v="26"/>
  </r>
  <r>
    <x v="4"/>
    <x v="1"/>
    <s v="Wendell"/>
    <x v="26"/>
    <n v="8"/>
    <x v="16"/>
    <x v="0"/>
    <x v="27"/>
  </r>
  <r>
    <x v="2"/>
    <x v="2"/>
    <s v="Guthrie"/>
    <x v="27"/>
    <n v="53"/>
    <x v="17"/>
    <x v="0"/>
    <x v="28"/>
  </r>
  <r>
    <x v="4"/>
    <x v="1"/>
    <s v="Vivyanne"/>
    <x v="28"/>
    <n v="83"/>
    <x v="16"/>
    <x v="1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E2556-D183-4C84-B52D-05605AFBB9A0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0">
    <pivotField axis="axisRow" showAll="0">
      <items count="6">
        <item x="2"/>
        <item x="3"/>
        <item x="1"/>
        <item x="0"/>
        <item x="4"/>
        <item t="default"/>
      </items>
    </pivotField>
    <pivotField numFmtId="14" showAll="0">
      <items count="5">
        <item x="3"/>
        <item x="0"/>
        <item x="2"/>
        <item x="1"/>
        <item t="default"/>
      </items>
    </pivotField>
    <pivotField showAll="0"/>
    <pivotField showAll="0">
      <items count="30">
        <item x="28"/>
        <item x="7"/>
        <item x="17"/>
        <item x="10"/>
        <item x="2"/>
        <item x="12"/>
        <item x="26"/>
        <item x="13"/>
        <item x="14"/>
        <item x="0"/>
        <item x="21"/>
        <item x="5"/>
        <item x="18"/>
        <item x="27"/>
        <item x="23"/>
        <item x="16"/>
        <item x="22"/>
        <item x="4"/>
        <item x="15"/>
        <item x="8"/>
        <item x="11"/>
        <item x="9"/>
        <item x="3"/>
        <item x="24"/>
        <item x="25"/>
        <item x="6"/>
        <item x="20"/>
        <item x="1"/>
        <item x="19"/>
        <item t="default"/>
      </items>
    </pivotField>
    <pivotField showAll="0"/>
    <pivotField showAll="0">
      <items count="19">
        <item x="4"/>
        <item x="14"/>
        <item x="5"/>
        <item x="9"/>
        <item x="11"/>
        <item x="15"/>
        <item x="16"/>
        <item x="8"/>
        <item x="2"/>
        <item x="6"/>
        <item x="17"/>
        <item x="12"/>
        <item x="0"/>
        <item x="1"/>
        <item x="10"/>
        <item x="13"/>
        <item x="3"/>
        <item x="7"/>
        <item t="default"/>
      </items>
    </pivotField>
    <pivotField showAll="0"/>
    <pivotField dataField="1" showAll="0">
      <items count="31">
        <item x="23"/>
        <item x="13"/>
        <item x="7"/>
        <item x="27"/>
        <item x="9"/>
        <item x="24"/>
        <item x="17"/>
        <item x="25"/>
        <item x="6"/>
        <item x="26"/>
        <item x="28"/>
        <item x="20"/>
        <item x="22"/>
        <item x="5"/>
        <item x="21"/>
        <item x="1"/>
        <item x="18"/>
        <item x="15"/>
        <item x="12"/>
        <item x="11"/>
        <item x="14"/>
        <item x="10"/>
        <item x="16"/>
        <item x="0"/>
        <item x="3"/>
        <item x="4"/>
        <item x="2"/>
        <item x="19"/>
        <item x="29"/>
        <item x="8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B8414-C805-4F34-8E46-BD8DDC96801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2" firstHeaderRow="1" firstDataRow="1" firstDataCol="1"/>
  <pivotFields count="10">
    <pivotField showAll="0"/>
    <pivotField numFmtId="14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19">
        <item x="4"/>
        <item x="14"/>
        <item x="5"/>
        <item x="9"/>
        <item x="11"/>
        <item x="15"/>
        <item x="16"/>
        <item x="8"/>
        <item x="2"/>
        <item x="6"/>
        <item x="17"/>
        <item x="12"/>
        <item x="0"/>
        <item x="1"/>
        <item x="10"/>
        <item x="13"/>
        <item x="3"/>
        <item x="7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CEEEF6-54A0-44AC-8794-1C1834237FE3}" name="Table1" displayName="Table1" ref="A1:Q11" totalsRowShown="0" headerRowDxfId="19" dataDxfId="18">
  <autoFilter ref="A1:Q11" xr:uid="{ABCEEEF6-54A0-44AC-8794-1C1834237FE3}"/>
  <tableColumns count="17">
    <tableColumn id="1" xr3:uid="{85558545-8C49-4146-A3FA-3E016099A4D2}" name="Column1" dataDxfId="17"/>
    <tableColumn id="2" xr3:uid="{469EDF78-7683-4337-A441-7DAC940B7682}" name="Column2" dataDxfId="16"/>
    <tableColumn id="3" xr3:uid="{9E0D3830-8D64-4696-ADE1-06DC11C25574}" name="Column3" dataDxfId="15"/>
    <tableColumn id="4" xr3:uid="{C73E5321-6090-4F27-A185-D1837DB723BD}" name="Column4" dataDxfId="14"/>
    <tableColumn id="5" xr3:uid="{1C6DF346-F2F4-4090-A56F-FA4251FFD37F}" name="Column5" dataDxfId="13"/>
    <tableColumn id="6" xr3:uid="{2231FEE2-F69E-4739-9C18-13BE773FCF02}" name="Column6" dataDxfId="12"/>
    <tableColumn id="7" xr3:uid="{5F18AB11-0543-47F5-B18B-E7758DC5F87E}" name="Column7" dataDxfId="11"/>
    <tableColumn id="8" xr3:uid="{E7E2E67A-81D1-4180-BD5E-77E62149B88A}" name="Column8" dataDxfId="10"/>
    <tableColumn id="9" xr3:uid="{431480FC-B4D8-4545-8287-85CEC60BFBF0}" name="Column9" dataDxfId="9"/>
    <tableColumn id="10" xr3:uid="{2D5D5D1E-3943-48D8-B407-C9502FD4065B}" name="Column10" dataDxfId="8">
      <calculatedColumnFormula>IF((YEAR(I2)-YEAR(H2))&lt;18,"Exp","Noob")</calculatedColumnFormula>
    </tableColumn>
    <tableColumn id="11" xr3:uid="{8F7AF229-B853-47BC-A0EE-B378023D8B23}" name="Column11" dataDxfId="7">
      <calculatedColumnFormula>G2*1.1</calculatedColumnFormula>
    </tableColumn>
    <tableColumn id="12" xr3:uid="{70F9B81B-8862-4DC7-84A0-FA9DF0A74BFB}" name="Column12" dataDxfId="6">
      <calculatedColumnFormula>G2*12</calculatedColumnFormula>
    </tableColumn>
    <tableColumn id="13" xr3:uid="{006A4C6A-D41C-4394-AD90-A3E57ADE93A7}" name="Column13" dataDxfId="5">
      <calculatedColumnFormula>D2+5</calculatedColumnFormula>
    </tableColumn>
    <tableColumn id="14" xr3:uid="{2B8E3C90-C294-4DE0-8306-71414E224D30}" name="Column14" dataDxfId="4"/>
    <tableColumn id="15" xr3:uid="{EF1DCDF5-60BF-4096-9AC4-20EBC14E20D6}" name="Column15" dataDxfId="3"/>
    <tableColumn id="16" xr3:uid="{0D1615F6-70B4-4981-8A37-2E5A4478DA99}" name="Column16" dataDxfId="2">
      <calculatedColumnFormula>G2-AVERAGE(G2:G9)</calculatedColumnFormula>
    </tableColumn>
    <tableColumn id="17" xr3:uid="{A8A5851C-E429-49AB-AF13-9B10B25F3DFE}" name="Column17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808D5E-4B69-4591-9D64-7B7A3C237C0F}" name="Table2" displayName="Table2" ref="A1:H31" totalsRowShown="0">
  <autoFilter ref="A1:H31" xr:uid="{97808D5E-4B69-4591-9D64-7B7A3C237C0F}"/>
  <tableColumns count="8">
    <tableColumn id="1" xr3:uid="{8EEEB849-17EB-473B-9455-FF3D322EBE45}" name="Emp ID"/>
    <tableColumn id="2" xr3:uid="{DB54FDD7-64E3-44F1-90DE-D09EAEA62737}" name="Date" dataDxfId="0"/>
    <tableColumn id="3" xr3:uid="{549D93CC-B663-46FE-8E72-3D06D48470AC}" name="Salesman"/>
    <tableColumn id="4" xr3:uid="{EB67BC24-9613-4B34-995A-768D71A79DB3}" name="Product"/>
    <tableColumn id="5" xr3:uid="{171AC15E-C58E-4F2F-B5D6-0B61B57314ED}" name="Qty"/>
    <tableColumn id="6" xr3:uid="{613963D0-39D7-4B55-8764-A821F839EC2F}" name="Department"/>
    <tableColumn id="7" xr3:uid="{343B9E77-ADCD-41C1-9FE1-A1FD2F7644B2}" name="State"/>
    <tableColumn id="8" xr3:uid="{8F0D0BEC-DC3B-4928-B80A-97B8742786A8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DD65-C1B0-4ACF-A6E4-FC9D79AE83C0}">
  <dimension ref="A1:S85"/>
  <sheetViews>
    <sheetView topLeftCell="A72" zoomScale="63" zoomScaleNormal="115" workbookViewId="0">
      <selection activeCell="O17" sqref="O17"/>
    </sheetView>
  </sheetViews>
  <sheetFormatPr defaultColWidth="8.90625" defaultRowHeight="21"/>
  <cols>
    <col min="1" max="1" width="15.90625" style="8" bestFit="1" customWidth="1"/>
    <col min="2" max="2" width="13.81640625" style="8" bestFit="1" customWidth="1"/>
    <col min="3" max="4" width="13.7265625" style="8" customWidth="1"/>
    <col min="5" max="5" width="15.90625" style="8" customWidth="1"/>
    <col min="6" max="6" width="23.54296875" style="8" bestFit="1" customWidth="1"/>
    <col min="7" max="7" width="13.7265625" style="8" customWidth="1"/>
    <col min="8" max="8" width="19.54296875" style="8" customWidth="1"/>
    <col min="9" max="9" width="22.81640625" style="8" customWidth="1"/>
    <col min="10" max="10" width="26.453125" style="8" customWidth="1"/>
    <col min="11" max="11" width="41.36328125" style="8" customWidth="1"/>
    <col min="12" max="12" width="22" style="8" customWidth="1"/>
    <col min="13" max="17" width="15.1796875" style="8" customWidth="1"/>
    <col min="18" max="16384" width="8.90625" style="8"/>
  </cols>
  <sheetData>
    <row r="1" spans="1:17" ht="21" customHeight="1">
      <c r="A1" s="7" t="s">
        <v>451</v>
      </c>
      <c r="B1" s="8" t="s">
        <v>452</v>
      </c>
      <c r="C1" s="8" t="s">
        <v>453</v>
      </c>
      <c r="D1" s="8" t="s">
        <v>454</v>
      </c>
      <c r="E1" s="8" t="s">
        <v>455</v>
      </c>
      <c r="F1" s="8" t="s">
        <v>456</v>
      </c>
      <c r="G1" s="8" t="s">
        <v>457</v>
      </c>
      <c r="H1" s="9" t="s">
        <v>458</v>
      </c>
      <c r="I1" s="8" t="s">
        <v>459</v>
      </c>
      <c r="J1" s="8" t="s">
        <v>460</v>
      </c>
      <c r="K1" s="8" t="s">
        <v>461</v>
      </c>
      <c r="L1" s="8" t="s">
        <v>462</v>
      </c>
      <c r="M1" s="8" t="s">
        <v>463</v>
      </c>
      <c r="N1" s="8" t="s">
        <v>464</v>
      </c>
      <c r="O1" s="8" t="s">
        <v>465</v>
      </c>
      <c r="P1" s="8" t="s">
        <v>466</v>
      </c>
      <c r="Q1" s="8" t="s">
        <v>467</v>
      </c>
    </row>
    <row r="2" spans="1:17" ht="21" customHeight="1">
      <c r="A2" s="7" t="s">
        <v>209</v>
      </c>
      <c r="B2" s="8" t="s">
        <v>210</v>
      </c>
      <c r="C2" s="8" t="s">
        <v>211</v>
      </c>
      <c r="D2" s="8" t="s">
        <v>212</v>
      </c>
      <c r="E2" s="8" t="s">
        <v>213</v>
      </c>
      <c r="F2" s="8" t="s">
        <v>214</v>
      </c>
      <c r="G2" s="8" t="s">
        <v>215</v>
      </c>
      <c r="H2" s="9" t="s">
        <v>216</v>
      </c>
      <c r="I2" s="8" t="s">
        <v>244</v>
      </c>
      <c r="K2" s="8" t="s">
        <v>444</v>
      </c>
      <c r="L2" s="8" t="s">
        <v>445</v>
      </c>
      <c r="M2" s="8" t="s">
        <v>446</v>
      </c>
      <c r="P2" s="8" t="s">
        <v>447</v>
      </c>
    </row>
    <row r="3" spans="1:17" ht="21" customHeight="1">
      <c r="A3" s="8">
        <v>109</v>
      </c>
      <c r="B3" s="8" t="s">
        <v>239</v>
      </c>
      <c r="C3" s="8" t="s">
        <v>240</v>
      </c>
      <c r="D3" s="8">
        <v>31</v>
      </c>
      <c r="E3" s="8" t="s">
        <v>222</v>
      </c>
      <c r="F3" s="8" t="s">
        <v>241</v>
      </c>
      <c r="G3" s="8">
        <v>42000</v>
      </c>
      <c r="H3" s="9">
        <v>37902</v>
      </c>
      <c r="I3" s="9" t="s">
        <v>242</v>
      </c>
      <c r="J3" s="8" t="e">
        <f>IF(DATEDIF(H3, I3, "Y") &lt; 18, "Exp", "Noob")</f>
        <v>#VALUE!</v>
      </c>
      <c r="K3" s="8">
        <f t="shared" ref="K3:K11" si="0">G3*1.1</f>
        <v>46200.000000000007</v>
      </c>
      <c r="L3" s="8">
        <f t="shared" ref="L3:L11" si="1">G3*12</f>
        <v>504000</v>
      </c>
      <c r="M3" s="8">
        <f t="shared" ref="M3:M11" si="2">D3+5</f>
        <v>36</v>
      </c>
      <c r="P3" s="8">
        <f t="shared" ref="P3:P10" si="3">G3-AVERAGE(G3:G10)</f>
        <v>-7000</v>
      </c>
    </row>
    <row r="4" spans="1:17" ht="21" customHeight="1">
      <c r="A4" s="8">
        <v>108</v>
      </c>
      <c r="B4" s="8" t="s">
        <v>236</v>
      </c>
      <c r="C4" s="8" t="s">
        <v>217</v>
      </c>
      <c r="D4" s="8">
        <v>38</v>
      </c>
      <c r="E4" s="8" t="s">
        <v>222</v>
      </c>
      <c r="F4" s="8" t="s">
        <v>237</v>
      </c>
      <c r="G4" s="8">
        <v>48000</v>
      </c>
      <c r="H4" s="9">
        <v>37505</v>
      </c>
      <c r="I4" s="9" t="s">
        <v>238</v>
      </c>
      <c r="J4" s="8" t="e">
        <f t="shared" ref="J3:J11" si="4">IF((YEAR(I4)-YEAR(H4))&lt;18,"Exp","Noob")</f>
        <v>#VALUE!</v>
      </c>
      <c r="K4" s="8">
        <f t="shared" si="0"/>
        <v>52800.000000000007</v>
      </c>
      <c r="L4" s="8">
        <f t="shared" si="1"/>
        <v>576000</v>
      </c>
      <c r="M4" s="8">
        <f t="shared" si="2"/>
        <v>43</v>
      </c>
      <c r="P4" s="8">
        <f t="shared" si="3"/>
        <v>-1375</v>
      </c>
    </row>
    <row r="5" spans="1:17" ht="21" customHeight="1">
      <c r="A5" s="8">
        <v>107</v>
      </c>
      <c r="B5" s="8" t="s">
        <v>234</v>
      </c>
      <c r="C5" s="8" t="s">
        <v>235</v>
      </c>
      <c r="D5" s="8">
        <v>32</v>
      </c>
      <c r="E5" s="8" t="s">
        <v>222</v>
      </c>
      <c r="F5" s="8" t="s">
        <v>226</v>
      </c>
      <c r="G5" s="8">
        <v>41000</v>
      </c>
      <c r="H5" s="9">
        <v>37844</v>
      </c>
      <c r="I5" s="9">
        <v>41374</v>
      </c>
      <c r="J5" s="8" t="str">
        <f t="shared" si="4"/>
        <v>Exp</v>
      </c>
      <c r="K5" s="8">
        <f t="shared" si="0"/>
        <v>45100.000000000007</v>
      </c>
      <c r="L5" s="8">
        <f t="shared" si="1"/>
        <v>492000</v>
      </c>
      <c r="M5" s="8">
        <f t="shared" si="2"/>
        <v>37</v>
      </c>
      <c r="P5" s="8">
        <f t="shared" si="3"/>
        <v>-8571.4285714285725</v>
      </c>
    </row>
    <row r="6" spans="1:17" ht="21" customHeight="1">
      <c r="A6" s="8">
        <v>106</v>
      </c>
      <c r="B6" s="8" t="s">
        <v>232</v>
      </c>
      <c r="C6" s="8" t="s">
        <v>233</v>
      </c>
      <c r="D6" s="8">
        <v>35</v>
      </c>
      <c r="E6" s="8" t="s">
        <v>218</v>
      </c>
      <c r="F6" s="8" t="s">
        <v>229</v>
      </c>
      <c r="G6" s="8">
        <v>65000</v>
      </c>
      <c r="H6" s="9">
        <v>34892</v>
      </c>
      <c r="I6" s="9">
        <v>41587</v>
      </c>
      <c r="J6" s="8" t="str">
        <f t="shared" si="4"/>
        <v>Noob</v>
      </c>
      <c r="K6" s="8">
        <f t="shared" si="0"/>
        <v>71500</v>
      </c>
      <c r="L6" s="8">
        <f t="shared" si="1"/>
        <v>780000</v>
      </c>
      <c r="M6" s="8">
        <f t="shared" si="2"/>
        <v>40</v>
      </c>
      <c r="P6" s="8">
        <f t="shared" si="3"/>
        <v>14000</v>
      </c>
    </row>
    <row r="7" spans="1:17" ht="21" customHeight="1">
      <c r="A7" s="8">
        <v>105</v>
      </c>
      <c r="B7" s="8" t="s">
        <v>230</v>
      </c>
      <c r="C7" s="8" t="s">
        <v>228</v>
      </c>
      <c r="D7" s="8">
        <v>32</v>
      </c>
      <c r="E7" s="8" t="s">
        <v>222</v>
      </c>
      <c r="F7" s="8" t="s">
        <v>231</v>
      </c>
      <c r="G7" s="8">
        <v>50000</v>
      </c>
      <c r="H7" s="9">
        <v>37047</v>
      </c>
      <c r="I7" s="17" t="s">
        <v>245</v>
      </c>
      <c r="J7" s="8" t="e">
        <f t="shared" si="4"/>
        <v>#VALUE!</v>
      </c>
      <c r="K7" s="8">
        <f t="shared" si="0"/>
        <v>55000.000000000007</v>
      </c>
      <c r="L7" s="8">
        <f t="shared" si="1"/>
        <v>600000</v>
      </c>
      <c r="M7" s="8">
        <f t="shared" si="2"/>
        <v>37</v>
      </c>
      <c r="P7" s="8">
        <f t="shared" si="3"/>
        <v>1800</v>
      </c>
    </row>
    <row r="8" spans="1:17" ht="21" customHeight="1">
      <c r="A8" s="8">
        <v>104</v>
      </c>
      <c r="B8" s="8" t="s">
        <v>227</v>
      </c>
      <c r="C8" s="8" t="s">
        <v>228</v>
      </c>
      <c r="D8" s="8">
        <v>31</v>
      </c>
      <c r="E8" s="8" t="s">
        <v>218</v>
      </c>
      <c r="F8" s="8" t="s">
        <v>229</v>
      </c>
      <c r="G8" s="8">
        <v>47000</v>
      </c>
      <c r="H8" s="9">
        <v>36647</v>
      </c>
      <c r="I8" s="9">
        <v>42075</v>
      </c>
      <c r="J8" s="8" t="str">
        <f t="shared" si="4"/>
        <v>Exp</v>
      </c>
      <c r="K8" s="8">
        <f t="shared" si="0"/>
        <v>51700.000000000007</v>
      </c>
      <c r="L8" s="8">
        <f t="shared" si="1"/>
        <v>564000</v>
      </c>
      <c r="M8" s="8">
        <f t="shared" si="2"/>
        <v>36</v>
      </c>
      <c r="P8" s="8">
        <f t="shared" si="3"/>
        <v>-750</v>
      </c>
    </row>
    <row r="9" spans="1:17" ht="21" customHeight="1">
      <c r="A9" s="8">
        <v>103</v>
      </c>
      <c r="B9" s="8" t="s">
        <v>224</v>
      </c>
      <c r="C9" s="8" t="s">
        <v>225</v>
      </c>
      <c r="D9" s="8">
        <v>29</v>
      </c>
      <c r="E9" s="8" t="s">
        <v>218</v>
      </c>
      <c r="F9" s="8" t="s">
        <v>226</v>
      </c>
      <c r="G9" s="8">
        <v>63000</v>
      </c>
      <c r="H9" s="9">
        <v>36623</v>
      </c>
      <c r="I9" s="9">
        <v>42956</v>
      </c>
      <c r="J9" s="8" t="str">
        <f t="shared" si="4"/>
        <v>Exp</v>
      </c>
      <c r="K9" s="8">
        <f t="shared" si="0"/>
        <v>69300</v>
      </c>
      <c r="L9" s="8">
        <f t="shared" si="1"/>
        <v>756000</v>
      </c>
      <c r="M9" s="8">
        <f t="shared" si="2"/>
        <v>34</v>
      </c>
      <c r="P9" s="8">
        <f t="shared" si="3"/>
        <v>15000</v>
      </c>
    </row>
    <row r="10" spans="1:17" ht="21" customHeight="1">
      <c r="A10" s="8">
        <v>102</v>
      </c>
      <c r="B10" s="8" t="s">
        <v>220</v>
      </c>
      <c r="C10" s="8" t="s">
        <v>221</v>
      </c>
      <c r="D10" s="8">
        <v>30</v>
      </c>
      <c r="E10" s="8" t="s">
        <v>222</v>
      </c>
      <c r="F10" s="8" t="s">
        <v>223</v>
      </c>
      <c r="G10" s="8">
        <v>36000</v>
      </c>
      <c r="H10" s="9">
        <v>36229</v>
      </c>
      <c r="I10" s="9">
        <v>42287</v>
      </c>
      <c r="J10" s="8" t="str">
        <f t="shared" si="4"/>
        <v>Exp</v>
      </c>
      <c r="K10" s="8">
        <f t="shared" si="0"/>
        <v>39600</v>
      </c>
      <c r="L10" s="8">
        <f t="shared" si="1"/>
        <v>432000</v>
      </c>
      <c r="M10" s="8">
        <f t="shared" si="2"/>
        <v>35</v>
      </c>
      <c r="P10" s="8">
        <f t="shared" si="3"/>
        <v>-4500</v>
      </c>
    </row>
    <row r="11" spans="1:17">
      <c r="A11" s="8">
        <v>101</v>
      </c>
      <c r="B11" s="8" t="s">
        <v>472</v>
      </c>
      <c r="C11" s="8" t="s">
        <v>473</v>
      </c>
      <c r="D11" s="8">
        <v>30</v>
      </c>
      <c r="E11" s="8" t="s">
        <v>218</v>
      </c>
      <c r="F11" s="8" t="s">
        <v>219</v>
      </c>
      <c r="G11" s="8">
        <v>45000</v>
      </c>
      <c r="H11" s="9">
        <v>36933</v>
      </c>
      <c r="I11" s="9">
        <v>42164</v>
      </c>
      <c r="J11" s="8">
        <f>K16</f>
        <v>0</v>
      </c>
      <c r="K11" s="8">
        <f t="shared" si="0"/>
        <v>49500.000000000007</v>
      </c>
      <c r="L11" s="8">
        <f t="shared" si="1"/>
        <v>540000</v>
      </c>
      <c r="M11" s="8">
        <f t="shared" si="2"/>
        <v>35</v>
      </c>
      <c r="P11" s="8">
        <f>G11-AVERAGE(G11:G19)</f>
        <v>0</v>
      </c>
    </row>
    <row r="12" spans="1:17">
      <c r="I12" s="9"/>
    </row>
    <row r="13" spans="1:17">
      <c r="E13" s="8" t="s">
        <v>440</v>
      </c>
      <c r="F13" s="8" t="str" cm="1">
        <f t="array" ref="F13:F15">IF(D3:D5&gt;18,"Adult","Kid")</f>
        <v>Adult</v>
      </c>
      <c r="H13" s="8" t="s">
        <v>441</v>
      </c>
      <c r="I13" s="8" t="s">
        <v>443</v>
      </c>
    </row>
    <row r="14" spans="1:17" ht="21" customHeight="1">
      <c r="A14" s="7"/>
      <c r="F14" s="8" t="str">
        <v>Adult</v>
      </c>
      <c r="H14" s="9" t="s">
        <v>442</v>
      </c>
    </row>
    <row r="15" spans="1:17">
      <c r="F15" s="8" t="str">
        <v>Adult</v>
      </c>
    </row>
    <row r="17" spans="3:10">
      <c r="C17" s="33" t="s">
        <v>449</v>
      </c>
      <c r="D17" s="34"/>
      <c r="E17" s="34"/>
      <c r="F17" s="34"/>
      <c r="G17" s="34"/>
      <c r="H17" s="34"/>
      <c r="I17" s="34"/>
      <c r="J17" s="19"/>
    </row>
    <row r="18" spans="3:10">
      <c r="C18" s="36" t="s">
        <v>14</v>
      </c>
      <c r="D18" s="36"/>
      <c r="E18" s="36"/>
      <c r="F18" s="36"/>
      <c r="G18" s="36"/>
      <c r="H18" s="36"/>
      <c r="I18" s="36"/>
      <c r="J18" s="46">
        <f>SUM(G3:G11)</f>
        <v>437000</v>
      </c>
    </row>
    <row r="19" spans="3:10">
      <c r="C19" s="36" t="s">
        <v>15</v>
      </c>
      <c r="D19" s="36"/>
      <c r="E19" s="36"/>
      <c r="F19" s="36"/>
      <c r="G19" s="36"/>
      <c r="H19" s="36"/>
      <c r="I19" s="36"/>
      <c r="J19" s="46">
        <f>MAX(D3:D11)-MIN(D3:D11)</f>
        <v>9</v>
      </c>
    </row>
    <row r="20" spans="3:10">
      <c r="C20" s="36" t="s">
        <v>16</v>
      </c>
      <c r="D20" s="36"/>
      <c r="E20" s="36"/>
      <c r="F20" s="36"/>
      <c r="G20" s="36"/>
      <c r="H20" s="36"/>
      <c r="I20" s="36"/>
      <c r="J20" s="46">
        <f>G3*1.1</f>
        <v>46200.000000000007</v>
      </c>
    </row>
    <row r="21" spans="3:10">
      <c r="C21" s="36" t="s">
        <v>17</v>
      </c>
      <c r="D21" s="36"/>
      <c r="E21" s="36"/>
      <c r="F21" s="36"/>
      <c r="G21" s="36"/>
      <c r="H21" s="36"/>
      <c r="I21" s="36"/>
      <c r="J21" s="46">
        <f>G3*12</f>
        <v>504000</v>
      </c>
    </row>
    <row r="22" spans="3:10">
      <c r="C22" s="36" t="s">
        <v>18</v>
      </c>
      <c r="D22" s="36"/>
      <c r="E22" s="36"/>
      <c r="F22" s="36"/>
      <c r="G22" s="36"/>
      <c r="H22" s="36"/>
      <c r="I22" s="36"/>
      <c r="J22" s="46">
        <f>MAX(G3:G11)-MIN(G3:G11)</f>
        <v>29000</v>
      </c>
    </row>
    <row r="23" spans="3:10">
      <c r="C23" s="36" t="s">
        <v>19</v>
      </c>
      <c r="D23" s="36"/>
      <c r="E23" s="36"/>
      <c r="F23" s="36"/>
      <c r="G23" s="36"/>
      <c r="H23" s="36"/>
      <c r="I23" s="36"/>
      <c r="J23" s="46">
        <f>D3+5</f>
        <v>36</v>
      </c>
    </row>
    <row r="24" spans="3:10">
      <c r="C24" s="36" t="s">
        <v>20</v>
      </c>
      <c r="D24" s="36"/>
      <c r="E24" s="36"/>
      <c r="F24" s="36"/>
      <c r="G24" s="36"/>
      <c r="H24" s="36"/>
      <c r="I24" s="36"/>
      <c r="J24" s="46">
        <f>G3-AVERAGE(G3:G11)</f>
        <v>-6555.5555555555547</v>
      </c>
    </row>
    <row r="25" spans="3:10">
      <c r="C25" s="36" t="s">
        <v>21</v>
      </c>
      <c r="D25" s="36"/>
      <c r="E25" s="36"/>
      <c r="F25" s="36"/>
      <c r="G25" s="36"/>
      <c r="H25" s="36"/>
      <c r="I25" s="36"/>
      <c r="J25" s="46">
        <f>SUMIF(E3:E11,"Male",G3:G11)</f>
        <v>220000</v>
      </c>
    </row>
    <row r="26" spans="3:10">
      <c r="C26" s="36" t="s">
        <v>22</v>
      </c>
      <c r="D26" s="36"/>
      <c r="E26" s="36"/>
      <c r="F26" s="36"/>
      <c r="G26" s="36"/>
      <c r="H26" s="36"/>
      <c r="I26" s="36"/>
      <c r="J26" s="46">
        <f>COUNTIF(Sheet1!G3:G11,"&gt;50000")</f>
        <v>2</v>
      </c>
    </row>
    <row r="27" spans="3:10">
      <c r="C27" s="36" t="s">
        <v>23</v>
      </c>
      <c r="D27" s="36"/>
      <c r="E27" s="36"/>
      <c r="F27" s="36"/>
      <c r="G27" s="36"/>
      <c r="H27" s="36"/>
      <c r="I27" s="36"/>
      <c r="J27" s="46">
        <f>SUM(D3:D11)</f>
        <v>288</v>
      </c>
    </row>
    <row r="28" spans="3:10">
      <c r="C28" s="32"/>
      <c r="D28" s="32"/>
      <c r="E28" s="32"/>
      <c r="F28" s="32"/>
      <c r="G28" s="32"/>
      <c r="H28" s="32"/>
      <c r="I28" s="32"/>
    </row>
    <row r="31" spans="3:10">
      <c r="C31" s="34" t="s">
        <v>448</v>
      </c>
      <c r="D31" s="34"/>
      <c r="E31" s="34"/>
      <c r="F31" s="34"/>
      <c r="G31" s="34"/>
      <c r="H31" s="34"/>
      <c r="I31" s="34"/>
      <c r="J31" s="47"/>
    </row>
    <row r="32" spans="3:10">
      <c r="C32" s="36" t="s">
        <v>25</v>
      </c>
      <c r="D32" s="36"/>
      <c r="E32" s="36"/>
      <c r="F32" s="36"/>
      <c r="G32" s="36"/>
      <c r="H32" s="36"/>
      <c r="I32" s="36"/>
      <c r="J32" s="47">
        <f>AVERAGE(G3:G11)</f>
        <v>48555.555555555555</v>
      </c>
    </row>
    <row r="33" spans="3:12">
      <c r="C33" s="36" t="s">
        <v>26</v>
      </c>
      <c r="D33" s="36"/>
      <c r="E33" s="36"/>
      <c r="F33" s="36"/>
      <c r="G33" s="36"/>
      <c r="H33" s="36"/>
      <c r="I33" s="36"/>
      <c r="J33" s="47">
        <f>MAX(G3:G11)</f>
        <v>65000</v>
      </c>
    </row>
    <row r="34" spans="3:12">
      <c r="C34" s="36" t="s">
        <v>27</v>
      </c>
      <c r="D34" s="36"/>
      <c r="E34" s="36"/>
      <c r="F34" s="36"/>
      <c r="G34" s="36"/>
      <c r="H34" s="36"/>
      <c r="I34" s="36"/>
      <c r="J34" s="47">
        <f>MIN(G3:G11)</f>
        <v>36000</v>
      </c>
    </row>
    <row r="35" spans="3:12">
      <c r="C35" s="36" t="s">
        <v>28</v>
      </c>
      <c r="D35" s="36"/>
      <c r="E35" s="36"/>
      <c r="F35" s="36"/>
      <c r="G35" s="36"/>
      <c r="H35" s="36"/>
      <c r="I35" s="36"/>
      <c r="J35" s="47">
        <f>COUNT(G3:G11)</f>
        <v>9</v>
      </c>
    </row>
    <row r="36" spans="3:12">
      <c r="C36" s="36" t="s">
        <v>29</v>
      </c>
      <c r="D36" s="36"/>
      <c r="E36" s="36"/>
      <c r="F36" s="36"/>
      <c r="G36" s="36"/>
      <c r="H36" s="36"/>
      <c r="I36" s="36"/>
      <c r="J36" s="47">
        <f>COUNTIF(E3:E11,"Female")</f>
        <v>5</v>
      </c>
    </row>
    <row r="37" spans="3:12">
      <c r="C37" s="36" t="s">
        <v>30</v>
      </c>
      <c r="D37" s="36"/>
      <c r="E37" s="36"/>
      <c r="F37" s="36"/>
      <c r="G37" s="36"/>
      <c r="H37" s="36"/>
      <c r="I37" s="36"/>
      <c r="J37" s="47">
        <f>MEDIAN(G3:G11)</f>
        <v>47000</v>
      </c>
    </row>
    <row r="38" spans="3:12">
      <c r="C38" s="36" t="s">
        <v>31</v>
      </c>
      <c r="D38" s="36"/>
      <c r="E38" s="36"/>
      <c r="F38" s="36"/>
      <c r="G38" s="36"/>
      <c r="H38" s="36"/>
      <c r="I38" s="36"/>
      <c r="J38" s="47">
        <f>STDEVA(G3:G11)</f>
        <v>9709.6744424196677</v>
      </c>
    </row>
    <row r="39" spans="3:12">
      <c r="C39" s="36" t="s">
        <v>32</v>
      </c>
      <c r="D39" s="36"/>
      <c r="E39" s="36"/>
      <c r="F39" s="36"/>
      <c r="G39" s="36"/>
      <c r="H39" s="36"/>
      <c r="I39" s="36"/>
      <c r="J39" s="47">
        <f>MAX(G3:G11)-MIN(G3:G11)</f>
        <v>29000</v>
      </c>
    </row>
    <row r="40" spans="3:12">
      <c r="C40" s="36" t="s">
        <v>33</v>
      </c>
      <c r="D40" s="36"/>
      <c r="E40" s="36"/>
      <c r="F40" s="36"/>
      <c r="G40" s="36"/>
      <c r="H40" s="36"/>
      <c r="I40" s="36"/>
      <c r="J40" s="47">
        <f>COUNTIF(D3:D11,"&gt;3")</f>
        <v>9</v>
      </c>
    </row>
    <row r="41" spans="3:12">
      <c r="C41" s="36" t="s">
        <v>34</v>
      </c>
      <c r="D41" s="36"/>
      <c r="E41" s="36"/>
      <c r="F41" s="36"/>
      <c r="G41" s="36"/>
      <c r="H41" s="36"/>
      <c r="I41" s="36"/>
      <c r="J41" s="47">
        <f>MODE(D3:D11)</f>
        <v>31</v>
      </c>
    </row>
    <row r="43" spans="3:12">
      <c r="C43" s="44" t="s">
        <v>1</v>
      </c>
      <c r="D43" s="44"/>
      <c r="E43" s="44"/>
      <c r="F43" s="44"/>
      <c r="G43" s="44"/>
      <c r="H43" s="44"/>
      <c r="I43" s="44"/>
      <c r="J43" s="48"/>
    </row>
    <row r="44" spans="3:12">
      <c r="C44" s="43" t="s">
        <v>36</v>
      </c>
      <c r="D44" s="43"/>
      <c r="E44" s="43"/>
      <c r="F44" s="43"/>
      <c r="G44" s="43"/>
      <c r="H44" s="43"/>
      <c r="I44" s="43"/>
      <c r="J44" s="48" t="str">
        <f>_xlfn.CONCAT(B3," ",C3)</f>
        <v>sanika thete</v>
      </c>
      <c r="K44" s="49" t="str">
        <f>PROPER(J44)</f>
        <v>Sanika Thete</v>
      </c>
      <c r="L44" s="49" t="s">
        <v>450</v>
      </c>
    </row>
    <row r="45" spans="3:12">
      <c r="C45" s="43" t="s">
        <v>37</v>
      </c>
      <c r="D45" s="43"/>
      <c r="E45" s="43"/>
      <c r="F45" s="43"/>
      <c r="G45" s="43"/>
      <c r="H45" s="43"/>
      <c r="I45" s="43"/>
      <c r="J45" s="48" t="str">
        <f>LEFT(B3,3)</f>
        <v>san</v>
      </c>
    </row>
    <row r="46" spans="3:12">
      <c r="C46" s="43" t="s">
        <v>38</v>
      </c>
      <c r="D46" s="43"/>
      <c r="E46" s="43"/>
      <c r="F46" s="43"/>
      <c r="G46" s="43"/>
      <c r="H46" s="43"/>
      <c r="I46" s="43"/>
      <c r="J46" s="48" t="str">
        <f>RIGHT(K44,3)</f>
        <v>ete</v>
      </c>
    </row>
    <row r="47" spans="3:12">
      <c r="C47" s="43" t="s">
        <v>39</v>
      </c>
      <c r="D47" s="43"/>
      <c r="E47" s="43"/>
      <c r="F47" s="43"/>
      <c r="G47" s="43"/>
      <c r="H47" s="43"/>
      <c r="I47" s="43"/>
      <c r="J47" s="48" t="str">
        <f>UPPER(K44)</f>
        <v>SANIKA THETE</v>
      </c>
    </row>
    <row r="48" spans="3:12">
      <c r="C48" s="43" t="s">
        <v>40</v>
      </c>
      <c r="D48" s="43"/>
      <c r="E48" s="43"/>
      <c r="F48" s="43"/>
      <c r="G48" s="43"/>
      <c r="H48" s="43"/>
      <c r="I48" s="43"/>
      <c r="J48" s="48" t="str">
        <f>LOWER(K44)</f>
        <v>sanika thete</v>
      </c>
    </row>
    <row r="49" spans="3:19">
      <c r="C49" s="43" t="s">
        <v>41</v>
      </c>
      <c r="D49" s="43"/>
      <c r="E49" s="43"/>
      <c r="F49" s="43"/>
      <c r="G49" s="43"/>
      <c r="H49" s="43"/>
      <c r="I49" s="43"/>
      <c r="J49" s="48">
        <f>LEN(K44)</f>
        <v>12</v>
      </c>
    </row>
    <row r="50" spans="3:19">
      <c r="C50" s="43" t="s">
        <v>42</v>
      </c>
      <c r="D50" s="43"/>
      <c r="E50" s="43"/>
      <c r="F50" s="43"/>
      <c r="G50" s="43"/>
      <c r="H50" s="43"/>
      <c r="I50" s="43"/>
      <c r="J50" s="48" t="str">
        <f>SUBSTITUTE(F6,"Accountant", "AcCoUnTaNt")</f>
        <v>AcCoUnTaNt</v>
      </c>
    </row>
    <row r="51" spans="3:19">
      <c r="C51" s="43" t="s">
        <v>43</v>
      </c>
      <c r="D51" s="43"/>
      <c r="E51" s="43"/>
      <c r="F51" s="43"/>
      <c r="G51" s="43"/>
      <c r="H51" s="43"/>
      <c r="I51" s="43"/>
      <c r="J51" s="48">
        <f>FIND("a",C5)</f>
        <v>3</v>
      </c>
    </row>
    <row r="52" spans="3:19">
      <c r="C52" s="43" t="s">
        <v>44</v>
      </c>
      <c r="D52" s="43"/>
      <c r="E52" s="43"/>
      <c r="F52" s="43"/>
      <c r="G52" s="43"/>
      <c r="H52" s="43"/>
      <c r="I52" s="43"/>
      <c r="J52" s="48" t="str">
        <f>TRIM(K52)</f>
        <v>Aditya Arya</v>
      </c>
      <c r="K52" s="21" t="s">
        <v>471</v>
      </c>
    </row>
    <row r="53" spans="3:19">
      <c r="C53" s="43" t="s">
        <v>45</v>
      </c>
      <c r="D53" s="43"/>
      <c r="E53" s="43"/>
      <c r="F53" s="43"/>
      <c r="G53" s="43"/>
      <c r="H53" s="43"/>
      <c r="I53" s="43"/>
      <c r="J53" s="48" t="str">
        <f>_xlfn.TEXTJOIN("-",TRUE,Sheet1!K44,Sheet1!F3)</f>
        <v>Sanika Thete-HR</v>
      </c>
    </row>
    <row r="55" spans="3:19">
      <c r="C55" s="33" t="s">
        <v>1</v>
      </c>
      <c r="D55" s="34"/>
      <c r="E55" s="34"/>
      <c r="F55" s="34"/>
      <c r="G55" s="34"/>
      <c r="H55" s="34"/>
      <c r="I55" s="34"/>
      <c r="J55" s="34"/>
    </row>
    <row r="56" spans="3:19">
      <c r="C56" s="36" t="s">
        <v>47</v>
      </c>
      <c r="D56" s="36"/>
      <c r="E56" s="36"/>
      <c r="F56" s="36"/>
      <c r="G56" s="36"/>
      <c r="H56" s="36"/>
      <c r="I56" s="36"/>
      <c r="J56" s="19" cm="1">
        <f t="array" ref="J56:K56">SUMIF(Sheet1!E3:E11,{"Male","Female"},Sheet1!G3:G11)</f>
        <v>220000</v>
      </c>
      <c r="K56" s="19">
        <v>217000</v>
      </c>
    </row>
    <row r="57" spans="3:19">
      <c r="C57" s="36" t="s">
        <v>49</v>
      </c>
      <c r="D57" s="36"/>
      <c r="E57" s="36"/>
      <c r="F57" s="36"/>
      <c r="G57" s="36"/>
      <c r="H57" s="36"/>
      <c r="I57" s="36"/>
      <c r="J57" s="19" cm="1">
        <f t="array" ref="J57">SUM(G3:G11*D3:D11)</f>
        <v>14027000</v>
      </c>
      <c r="K57" s="19"/>
    </row>
    <row r="58" spans="3:19">
      <c r="C58" s="36" t="s">
        <v>246</v>
      </c>
      <c r="D58" s="36"/>
      <c r="E58" s="36"/>
      <c r="F58" s="36"/>
      <c r="G58" s="36"/>
      <c r="H58" s="36"/>
      <c r="I58" s="36"/>
      <c r="J58" s="19">
        <f>_xlfn.MAXIFS(D3:D11,Sheet1!E3:E11,"=Male")</f>
        <v>35</v>
      </c>
      <c r="K58" s="19"/>
    </row>
    <row r="59" spans="3:19">
      <c r="C59" s="36" t="s">
        <v>52</v>
      </c>
      <c r="D59" s="36"/>
      <c r="E59" s="36"/>
      <c r="F59" s="36"/>
      <c r="G59" s="36"/>
      <c r="H59" s="36"/>
      <c r="I59" s="36"/>
      <c r="J59" s="19" t="str">
        <f>IF(D3&lt;30,"True","False")</f>
        <v>False</v>
      </c>
      <c r="K59" s="19"/>
    </row>
    <row r="60" spans="3:19">
      <c r="C60" s="37" t="s">
        <v>54</v>
      </c>
      <c r="D60" s="38"/>
      <c r="E60" s="38"/>
      <c r="F60" s="38"/>
      <c r="G60" s="38"/>
      <c r="H60" s="38"/>
      <c r="I60" s="39"/>
      <c r="J60" s="22" t="str" cm="1">
        <f t="array" ref="J60:J61">_xlfn.UNIQUE(F3:F4)</f>
        <v>HR</v>
      </c>
      <c r="K60" s="23"/>
    </row>
    <row r="61" spans="3:19">
      <c r="C61" s="40"/>
      <c r="D61" s="41"/>
      <c r="E61" s="41"/>
      <c r="F61" s="41"/>
      <c r="G61" s="41"/>
      <c r="H61" s="41"/>
      <c r="I61" s="42"/>
      <c r="J61" s="22" t="str">
        <v>BDE</v>
      </c>
      <c r="K61" s="23"/>
    </row>
    <row r="62" spans="3:19">
      <c r="C62" s="35" t="s">
        <v>56</v>
      </c>
      <c r="D62" s="35"/>
      <c r="E62" s="35"/>
      <c r="F62" s="35"/>
      <c r="G62" s="35"/>
      <c r="H62" s="35"/>
      <c r="I62" s="35"/>
      <c r="J62" s="20" cm="1">
        <f t="array" ref="J62:R66">_xlfn._xlws.FILTER(A3:I11,E3:E11="Female")</f>
        <v>109</v>
      </c>
      <c r="K62" s="20" t="str">
        <v>sanika</v>
      </c>
      <c r="L62" s="19" t="str">
        <v>thete</v>
      </c>
      <c r="M62" s="19">
        <v>31</v>
      </c>
      <c r="N62" s="19" t="str">
        <v>Female</v>
      </c>
      <c r="O62" s="19" t="str">
        <v>HR</v>
      </c>
      <c r="P62" s="19">
        <v>42000</v>
      </c>
      <c r="Q62" s="19">
        <v>37902</v>
      </c>
      <c r="R62" s="19" t="str">
        <v>9/14/2011</v>
      </c>
      <c r="S62" s="19"/>
    </row>
    <row r="63" spans="3:19">
      <c r="C63" s="35"/>
      <c r="D63" s="35"/>
      <c r="E63" s="35"/>
      <c r="F63" s="35"/>
      <c r="G63" s="35"/>
      <c r="H63" s="35"/>
      <c r="I63" s="35"/>
      <c r="J63" s="20">
        <v>108</v>
      </c>
      <c r="K63" s="20" t="str">
        <v>anuskha</v>
      </c>
      <c r="L63" s="19" t="str">
        <v>koli</v>
      </c>
      <c r="M63" s="19">
        <v>38</v>
      </c>
      <c r="N63" s="19" t="str">
        <v>Female</v>
      </c>
      <c r="O63" s="19" t="str">
        <v>BDE</v>
      </c>
      <c r="P63" s="19">
        <v>48000</v>
      </c>
      <c r="Q63" s="19">
        <v>37505</v>
      </c>
      <c r="R63" s="19" t="str">
        <v>4/22/2015</v>
      </c>
      <c r="S63" s="19"/>
    </row>
    <row r="64" spans="3:19">
      <c r="C64" s="35"/>
      <c r="D64" s="35"/>
      <c r="E64" s="35"/>
      <c r="F64" s="35"/>
      <c r="G64" s="35"/>
      <c r="H64" s="35"/>
      <c r="I64" s="35"/>
      <c r="J64" s="20">
        <v>107</v>
      </c>
      <c r="K64" s="20" t="str">
        <v>sahil</v>
      </c>
      <c r="L64" s="19" t="str">
        <v>khan</v>
      </c>
      <c r="M64" s="19">
        <v>32</v>
      </c>
      <c r="N64" s="19" t="str">
        <v>Female</v>
      </c>
      <c r="O64" s="19" t="str">
        <v>Research analyst</v>
      </c>
      <c r="P64" s="19">
        <v>41000</v>
      </c>
      <c r="Q64" s="19">
        <v>37844</v>
      </c>
      <c r="R64" s="19">
        <v>41374</v>
      </c>
      <c r="S64" s="19"/>
    </row>
    <row r="65" spans="3:19">
      <c r="C65" s="35"/>
      <c r="D65" s="35"/>
      <c r="E65" s="35"/>
      <c r="F65" s="35"/>
      <c r="G65" s="35"/>
      <c r="H65" s="35"/>
      <c r="I65" s="35"/>
      <c r="J65" s="20">
        <v>105</v>
      </c>
      <c r="K65" s="20" t="str">
        <v>jagruti</v>
      </c>
      <c r="L65" s="19" t="str">
        <v>bawiskar</v>
      </c>
      <c r="M65" s="19">
        <v>32</v>
      </c>
      <c r="N65" s="19" t="str">
        <v>Female</v>
      </c>
      <c r="O65" s="19" t="str">
        <v>AI engineer</v>
      </c>
      <c r="P65" s="19">
        <v>50000</v>
      </c>
      <c r="Q65" s="19">
        <v>37047</v>
      </c>
      <c r="R65" s="19" t="str">
        <v>08-30-2017</v>
      </c>
      <c r="S65" s="19"/>
    </row>
    <row r="66" spans="3:19">
      <c r="C66" s="35"/>
      <c r="D66" s="35"/>
      <c r="E66" s="35"/>
      <c r="F66" s="35"/>
      <c r="G66" s="35"/>
      <c r="H66" s="35"/>
      <c r="I66" s="35"/>
      <c r="J66" s="20">
        <v>102</v>
      </c>
      <c r="K66" s="20" t="str">
        <v>neha</v>
      </c>
      <c r="L66" s="19" t="str">
        <v>shinde</v>
      </c>
      <c r="M66" s="19">
        <v>30</v>
      </c>
      <c r="N66" s="19" t="str">
        <v>Female</v>
      </c>
      <c r="O66" s="19" t="str">
        <v>Software Engineer</v>
      </c>
      <c r="P66" s="19">
        <v>36000</v>
      </c>
      <c r="Q66" s="19">
        <v>36229</v>
      </c>
      <c r="R66" s="19">
        <v>42287</v>
      </c>
      <c r="S66" s="19"/>
    </row>
    <row r="67" spans="3:19">
      <c r="C67" s="36" t="s">
        <v>58</v>
      </c>
      <c r="D67" s="36"/>
      <c r="E67" s="36"/>
      <c r="F67" s="36"/>
      <c r="G67" s="36"/>
      <c r="H67" s="36"/>
      <c r="I67" s="36"/>
      <c r="J67" s="20" cm="1">
        <f t="array" ref="J67">AVERAGE(IF(E3:E11="Female",G3:G11))</f>
        <v>43400</v>
      </c>
      <c r="K67" s="24"/>
    </row>
    <row r="68" spans="3:19">
      <c r="C68" s="36" t="s">
        <v>60</v>
      </c>
      <c r="D68" s="36"/>
      <c r="E68" s="36"/>
      <c r="F68" s="36"/>
      <c r="G68" s="36"/>
      <c r="H68" s="36"/>
      <c r="I68" s="36"/>
      <c r="J68" s="20">
        <f>YEAR(H3)</f>
        <v>2003</v>
      </c>
      <c r="K68" s="24"/>
    </row>
    <row r="69" spans="3:19">
      <c r="C69" s="36" t="s">
        <v>62</v>
      </c>
      <c r="D69" s="36"/>
      <c r="E69" s="36"/>
      <c r="F69" s="36"/>
      <c r="G69" s="36"/>
      <c r="H69" s="36"/>
      <c r="I69" s="36"/>
      <c r="J69" s="20" cm="1">
        <f t="array" ref="J69:J70">_xlfn._xlws.SORT(G3:G4,1)</f>
        <v>42000</v>
      </c>
      <c r="K69" s="24"/>
    </row>
    <row r="70" spans="3:19">
      <c r="C70" s="36"/>
      <c r="D70" s="36"/>
      <c r="E70" s="36"/>
      <c r="F70" s="36"/>
      <c r="G70" s="36"/>
      <c r="H70" s="36"/>
      <c r="I70" s="36"/>
      <c r="J70" s="20">
        <v>48000</v>
      </c>
      <c r="K70" s="24"/>
    </row>
    <row r="71" spans="3:19">
      <c r="C71" s="36" t="s">
        <v>64</v>
      </c>
      <c r="D71" s="36"/>
      <c r="E71" s="36"/>
      <c r="F71" s="36"/>
      <c r="G71" s="36"/>
      <c r="H71" s="36"/>
      <c r="I71" s="36"/>
      <c r="J71" s="20" t="str">
        <f>INDEX(B3:B11, MATCH(101, A3:A11, 0))</f>
        <v>aditya</v>
      </c>
      <c r="K71" s="24"/>
    </row>
    <row r="73" spans="3:19">
      <c r="C73" s="33" t="s">
        <v>105</v>
      </c>
      <c r="D73" s="34"/>
      <c r="E73" s="34"/>
      <c r="F73" s="34"/>
      <c r="G73" s="34"/>
      <c r="H73" s="34"/>
      <c r="I73" s="34"/>
      <c r="J73" s="20"/>
    </row>
    <row r="74" spans="3:19">
      <c r="C74" s="29" t="s">
        <v>107</v>
      </c>
      <c r="D74" s="29"/>
      <c r="E74" s="29"/>
      <c r="F74" s="29"/>
      <c r="G74" s="29"/>
      <c r="H74" s="29"/>
      <c r="I74" s="29"/>
      <c r="J74" s="25" t="str">
        <f>VLOOKUP(A11,Table1[],3,FALSE)</f>
        <v>arya</v>
      </c>
    </row>
    <row r="75" spans="3:19">
      <c r="C75" s="29" t="s">
        <v>109</v>
      </c>
      <c r="D75" s="29"/>
      <c r="E75" s="29"/>
      <c r="F75" s="29"/>
      <c r="G75" s="29"/>
      <c r="H75" s="29"/>
      <c r="I75" s="29"/>
      <c r="J75" s="25" t="str">
        <f>VLOOKUP(103,A3:F11,6,FALSE)</f>
        <v>Research analyst</v>
      </c>
      <c r="K75" s="19"/>
    </row>
    <row r="76" spans="3:19">
      <c r="C76" s="29" t="s">
        <v>111</v>
      </c>
      <c r="D76" s="29"/>
      <c r="E76" s="29"/>
      <c r="F76" s="29"/>
      <c r="G76" s="29"/>
      <c r="H76" s="29"/>
      <c r="I76" s="29"/>
      <c r="J76" s="25">
        <f>VLOOKUP(106,A3:G11,7)</f>
        <v>45000</v>
      </c>
    </row>
    <row r="77" spans="3:19">
      <c r="C77" s="29" t="s">
        <v>113</v>
      </c>
      <c r="D77" s="29"/>
      <c r="E77" s="29"/>
      <c r="F77" s="29"/>
      <c r="G77" s="29"/>
      <c r="H77" s="29"/>
      <c r="I77" s="29"/>
      <c r="J77" s="26" t="str">
        <f>VLOOKUP(102,A3:E11,5,)</f>
        <v>Female</v>
      </c>
    </row>
    <row r="78" spans="3:19">
      <c r="C78" s="29" t="s">
        <v>115</v>
      </c>
      <c r="D78" s="29"/>
      <c r="E78" s="29"/>
      <c r="F78" s="29"/>
      <c r="G78" s="29"/>
      <c r="H78" s="29"/>
      <c r="I78" s="29"/>
      <c r="J78" s="30">
        <f>VLOOKUP(105,A3:H11,8)</f>
        <v>37047</v>
      </c>
      <c r="K78" s="30"/>
    </row>
    <row r="79" spans="3:19">
      <c r="C79" s="29" t="s">
        <v>117</v>
      </c>
      <c r="D79" s="29"/>
      <c r="E79" s="29"/>
      <c r="F79" s="29"/>
      <c r="G79" s="29"/>
      <c r="H79" s="29"/>
      <c r="I79" s="29"/>
      <c r="J79" s="27">
        <f>VLOOKUP(107,A3:I11,9)</f>
        <v>42164</v>
      </c>
    </row>
    <row r="80" spans="3:19">
      <c r="C80" s="29" t="s">
        <v>119</v>
      </c>
      <c r="D80" s="29"/>
      <c r="E80" s="29"/>
      <c r="F80" s="29"/>
      <c r="G80" s="29"/>
      <c r="H80" s="29"/>
      <c r="I80" s="29"/>
      <c r="J80" s="25" t="str">
        <f>VLOOKUP(108,A3:I11,6)</f>
        <v>Data analyst</v>
      </c>
    </row>
    <row r="81" spans="3:10">
      <c r="C81" s="29" t="s">
        <v>121</v>
      </c>
      <c r="D81" s="29"/>
      <c r="E81" s="29"/>
      <c r="F81" s="29"/>
      <c r="G81" s="29"/>
      <c r="H81" s="29"/>
      <c r="I81" s="29"/>
      <c r="J81" s="25">
        <f>VLOOKUP(109,A3:G11,7)</f>
        <v>45000</v>
      </c>
    </row>
    <row r="82" spans="3:10">
      <c r="C82" s="31" t="s">
        <v>123</v>
      </c>
      <c r="D82" s="31"/>
      <c r="E82" s="31"/>
      <c r="F82" s="31"/>
      <c r="G82" s="31"/>
      <c r="H82" s="31"/>
      <c r="I82" s="31"/>
      <c r="J82" s="19">
        <f>VLOOKUP(A8,A3:G11,7,FALSE)</f>
        <v>47000</v>
      </c>
    </row>
    <row r="83" spans="3:10">
      <c r="C83" s="31" t="s">
        <v>125</v>
      </c>
      <c r="D83" s="31"/>
      <c r="E83" s="31"/>
      <c r="F83" s="31"/>
      <c r="G83" s="31"/>
      <c r="H83" s="31"/>
      <c r="I83" s="31"/>
      <c r="J83" s="19" t="str">
        <f>VLOOKUP(A9,A3:E11,5,FALSE)</f>
        <v>Male</v>
      </c>
    </row>
    <row r="84" spans="3:10">
      <c r="C84" s="32"/>
      <c r="D84" s="32"/>
      <c r="E84" s="32"/>
      <c r="F84" s="32"/>
      <c r="G84" s="32"/>
      <c r="H84" s="32"/>
      <c r="I84" s="32"/>
    </row>
    <row r="85" spans="3:10">
      <c r="C85" s="32"/>
      <c r="D85" s="32"/>
      <c r="E85" s="32"/>
      <c r="F85" s="32"/>
      <c r="G85" s="32"/>
      <c r="H85" s="32"/>
      <c r="I85" s="32"/>
    </row>
  </sheetData>
  <mergeCells count="60">
    <mergeCell ref="C18:I18"/>
    <mergeCell ref="C28:I28"/>
    <mergeCell ref="C31:I31"/>
    <mergeCell ref="C32:I32"/>
    <mergeCell ref="C19:I19"/>
    <mergeCell ref="C20:I20"/>
    <mergeCell ref="C21:I21"/>
    <mergeCell ref="C22:I22"/>
    <mergeCell ref="C23:I23"/>
    <mergeCell ref="C24:I24"/>
    <mergeCell ref="C50:I50"/>
    <mergeCell ref="C39:I39"/>
    <mergeCell ref="C40:I40"/>
    <mergeCell ref="C41:I41"/>
    <mergeCell ref="C17:I17"/>
    <mergeCell ref="C43:I43"/>
    <mergeCell ref="C44:I44"/>
    <mergeCell ref="C33:I33"/>
    <mergeCell ref="C34:I34"/>
    <mergeCell ref="C35:I35"/>
    <mergeCell ref="C36:I36"/>
    <mergeCell ref="C37:I37"/>
    <mergeCell ref="C38:I38"/>
    <mergeCell ref="C25:I25"/>
    <mergeCell ref="C26:I26"/>
    <mergeCell ref="C27:I27"/>
    <mergeCell ref="C45:I45"/>
    <mergeCell ref="C46:I46"/>
    <mergeCell ref="C47:I47"/>
    <mergeCell ref="C48:I48"/>
    <mergeCell ref="C49:I49"/>
    <mergeCell ref="C71:I71"/>
    <mergeCell ref="C59:I59"/>
    <mergeCell ref="C60:I61"/>
    <mergeCell ref="C51:I51"/>
    <mergeCell ref="C52:I52"/>
    <mergeCell ref="C53:I53"/>
    <mergeCell ref="C56:I56"/>
    <mergeCell ref="C57:I57"/>
    <mergeCell ref="C58:I58"/>
    <mergeCell ref="C55:J55"/>
    <mergeCell ref="C62:I66"/>
    <mergeCell ref="C67:I67"/>
    <mergeCell ref="C68:I68"/>
    <mergeCell ref="C69:I69"/>
    <mergeCell ref="C70:I70"/>
    <mergeCell ref="C83:I83"/>
    <mergeCell ref="C84:I84"/>
    <mergeCell ref="C85:I85"/>
    <mergeCell ref="C73:I73"/>
    <mergeCell ref="C74:I74"/>
    <mergeCell ref="C75:I75"/>
    <mergeCell ref="C76:I76"/>
    <mergeCell ref="C77:I77"/>
    <mergeCell ref="C78:I78"/>
    <mergeCell ref="C79:I79"/>
    <mergeCell ref="C80:I80"/>
    <mergeCell ref="C81:I81"/>
    <mergeCell ref="J78:K78"/>
    <mergeCell ref="C82:I82"/>
  </mergeCells>
  <conditionalFormatting sqref="J73:K83">
    <cfRule type="colorScale" priority="2">
      <colorScale>
        <cfvo type="min"/>
        <cfvo type="max"/>
        <color rgb="FF63BE7B"/>
        <color rgb="FFFFEF9C"/>
      </colorScale>
    </cfRule>
  </conditionalFormatting>
  <conditionalFormatting sqref="J56:S7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7BD0-89C6-4080-888B-EBADFE572112}">
  <dimension ref="B8:U169"/>
  <sheetViews>
    <sheetView tabSelected="1" topLeftCell="A172" zoomScale="86" zoomScaleNormal="85" workbookViewId="0">
      <selection activeCell="B110" sqref="B110"/>
    </sheetView>
  </sheetViews>
  <sheetFormatPr defaultColWidth="8.90625" defaultRowHeight="18.5"/>
  <cols>
    <col min="1" max="1" width="8.90625" style="2"/>
    <col min="2" max="2" width="80" style="2" bestFit="1" customWidth="1"/>
    <col min="3" max="3" width="52" style="16" bestFit="1" customWidth="1"/>
    <col min="4" max="4" width="8.7265625"/>
    <col min="5" max="19" width="8.90625" style="2"/>
    <col min="20" max="20" width="8.7265625"/>
    <col min="21" max="21" width="80.1796875" style="2" bestFit="1" customWidth="1"/>
    <col min="22" max="16384" width="8.90625" style="2"/>
  </cols>
  <sheetData>
    <row r="8" spans="2:21" ht="25" customHeight="1">
      <c r="B8" s="1" t="s">
        <v>0</v>
      </c>
    </row>
    <row r="9" spans="2:21" ht="25" customHeight="1"/>
    <row r="10" spans="2:21" ht="25" customHeight="1"/>
    <row r="11" spans="2:21" ht="25" customHeight="1">
      <c r="B11" s="2" t="s">
        <v>430</v>
      </c>
    </row>
    <row r="12" spans="2:21" ht="25" customHeight="1">
      <c r="B12" s="3" t="s">
        <v>1</v>
      </c>
      <c r="U12" s="3" t="s">
        <v>2</v>
      </c>
    </row>
    <row r="13" spans="2:21" ht="25" customHeight="1">
      <c r="B13" s="1" t="s">
        <v>3</v>
      </c>
      <c r="C13" s="16" t="s">
        <v>431</v>
      </c>
      <c r="U13" s="4" t="s">
        <v>103</v>
      </c>
    </row>
    <row r="14" spans="2:21" ht="25" customHeight="1">
      <c r="B14" s="1" t="s">
        <v>4</v>
      </c>
      <c r="C14" s="16" t="s">
        <v>104</v>
      </c>
      <c r="U14" s="4" t="s">
        <v>104</v>
      </c>
    </row>
    <row r="15" spans="2:21" ht="25" customHeight="1">
      <c r="B15" s="1" t="s">
        <v>5</v>
      </c>
      <c r="C15" s="16" t="s">
        <v>432</v>
      </c>
      <c r="U15" s="4" t="s">
        <v>66</v>
      </c>
    </row>
    <row r="16" spans="2:21" ht="25" customHeight="1">
      <c r="B16" s="1" t="s">
        <v>6</v>
      </c>
      <c r="C16" s="16" t="s">
        <v>433</v>
      </c>
      <c r="U16" s="4" t="s">
        <v>67</v>
      </c>
    </row>
    <row r="17" spans="2:21" ht="25" customHeight="1">
      <c r="B17" s="1" t="s">
        <v>7</v>
      </c>
      <c r="C17" s="16" t="s">
        <v>434</v>
      </c>
      <c r="U17" s="4" t="s">
        <v>68</v>
      </c>
    </row>
    <row r="18" spans="2:21" ht="25" customHeight="1">
      <c r="B18" s="1" t="s">
        <v>8</v>
      </c>
      <c r="C18" s="16" t="s">
        <v>243</v>
      </c>
      <c r="U18" s="4" t="s">
        <v>69</v>
      </c>
    </row>
    <row r="19" spans="2:21" ht="25" customHeight="1">
      <c r="B19" s="1" t="s">
        <v>9</v>
      </c>
      <c r="C19" s="16" t="s">
        <v>243</v>
      </c>
      <c r="U19" s="4" t="s">
        <v>70</v>
      </c>
    </row>
    <row r="20" spans="2:21" ht="25" customHeight="1">
      <c r="B20" s="1" t="s">
        <v>10</v>
      </c>
      <c r="C20" s="16" t="s">
        <v>435</v>
      </c>
      <c r="U20" s="4" t="s">
        <v>71</v>
      </c>
    </row>
    <row r="21" spans="2:21" ht="25" customHeight="1">
      <c r="B21" s="1" t="s">
        <v>11</v>
      </c>
      <c r="C21" s="16" t="s">
        <v>243</v>
      </c>
      <c r="U21" s="4" t="s">
        <v>72</v>
      </c>
    </row>
    <row r="22" spans="2:21" ht="25" customHeight="1">
      <c r="B22" s="1" t="s">
        <v>12</v>
      </c>
      <c r="C22" s="16" t="s">
        <v>243</v>
      </c>
      <c r="U22" s="4" t="s">
        <v>73</v>
      </c>
    </row>
    <row r="23" spans="2:21" ht="25" customHeight="1"/>
    <row r="24" spans="2:21" ht="25" customHeight="1"/>
    <row r="25" spans="2:21" ht="25" customHeight="1">
      <c r="B25" s="1" t="s">
        <v>13</v>
      </c>
    </row>
    <row r="26" spans="2:21" ht="25" customHeight="1"/>
    <row r="27" spans="2:21" ht="25" customHeight="1"/>
    <row r="28" spans="2:21" ht="25" customHeight="1"/>
    <row r="29" spans="2:21" ht="25" customHeight="1">
      <c r="B29" s="3" t="s">
        <v>1</v>
      </c>
      <c r="U29" s="3" t="s">
        <v>2</v>
      </c>
    </row>
    <row r="30" spans="2:21" ht="25" customHeight="1">
      <c r="B30" s="1" t="s">
        <v>14</v>
      </c>
      <c r="C30" s="16" t="s">
        <v>243</v>
      </c>
      <c r="U30" s="4" t="s">
        <v>74</v>
      </c>
    </row>
    <row r="31" spans="2:21" ht="25" customHeight="1">
      <c r="B31" s="1" t="s">
        <v>15</v>
      </c>
      <c r="C31" s="16" t="s">
        <v>243</v>
      </c>
      <c r="U31" s="4" t="s">
        <v>75</v>
      </c>
    </row>
    <row r="32" spans="2:21" ht="25" customHeight="1">
      <c r="B32" s="1" t="s">
        <v>16</v>
      </c>
      <c r="C32" s="16" t="s">
        <v>243</v>
      </c>
      <c r="U32" s="4" t="s">
        <v>76</v>
      </c>
    </row>
    <row r="33" spans="2:21" ht="25" customHeight="1">
      <c r="B33" s="1" t="s">
        <v>17</v>
      </c>
      <c r="C33" s="16" t="s">
        <v>243</v>
      </c>
      <c r="U33" s="4" t="s">
        <v>77</v>
      </c>
    </row>
    <row r="34" spans="2:21" ht="25" customHeight="1">
      <c r="B34" s="1" t="s">
        <v>18</v>
      </c>
      <c r="C34" s="16" t="s">
        <v>243</v>
      </c>
      <c r="U34" s="4" t="s">
        <v>78</v>
      </c>
    </row>
    <row r="35" spans="2:21" ht="25" customHeight="1">
      <c r="B35" s="1" t="s">
        <v>19</v>
      </c>
      <c r="C35" s="16" t="s">
        <v>243</v>
      </c>
      <c r="U35" s="4" t="s">
        <v>79</v>
      </c>
    </row>
    <row r="36" spans="2:21" ht="25" customHeight="1">
      <c r="B36" s="1" t="s">
        <v>20</v>
      </c>
      <c r="C36" s="16" t="s">
        <v>243</v>
      </c>
      <c r="U36" s="4" t="s">
        <v>80</v>
      </c>
    </row>
    <row r="37" spans="2:21" ht="25" customHeight="1">
      <c r="B37" s="1" t="s">
        <v>21</v>
      </c>
      <c r="C37" s="16" t="s">
        <v>243</v>
      </c>
      <c r="U37" s="4" t="s">
        <v>81</v>
      </c>
    </row>
    <row r="38" spans="2:21" ht="25" customHeight="1">
      <c r="B38" s="1" t="s">
        <v>22</v>
      </c>
      <c r="C38" s="16" t="s">
        <v>243</v>
      </c>
      <c r="U38" s="4" t="s">
        <v>82</v>
      </c>
    </row>
    <row r="39" spans="2:21" ht="25" customHeight="1">
      <c r="B39" s="1" t="s">
        <v>23</v>
      </c>
      <c r="C39" s="16" t="s">
        <v>243</v>
      </c>
      <c r="U39" s="4" t="s">
        <v>83</v>
      </c>
    </row>
    <row r="40" spans="2:21" ht="25" customHeight="1"/>
    <row r="41" spans="2:21" ht="25" customHeight="1"/>
    <row r="42" spans="2:21" ht="25" customHeight="1">
      <c r="B42" s="1" t="s">
        <v>24</v>
      </c>
    </row>
    <row r="43" spans="2:21" ht="25" customHeight="1"/>
    <row r="44" spans="2:21" ht="25" customHeight="1"/>
    <row r="45" spans="2:21" ht="25" customHeight="1"/>
    <row r="46" spans="2:21" ht="25" customHeight="1">
      <c r="B46" s="3" t="s">
        <v>1</v>
      </c>
      <c r="U46" s="3" t="s">
        <v>2</v>
      </c>
    </row>
    <row r="47" spans="2:21" ht="25" customHeight="1">
      <c r="B47" s="1" t="s">
        <v>25</v>
      </c>
      <c r="C47" s="16" t="s">
        <v>243</v>
      </c>
      <c r="U47" s="4" t="s">
        <v>84</v>
      </c>
    </row>
    <row r="48" spans="2:21" ht="25" customHeight="1">
      <c r="B48" s="1" t="s">
        <v>26</v>
      </c>
      <c r="C48" s="16" t="s">
        <v>243</v>
      </c>
      <c r="U48" s="4" t="s">
        <v>85</v>
      </c>
    </row>
    <row r="49" spans="2:21" ht="25" customHeight="1">
      <c r="B49" s="1" t="s">
        <v>27</v>
      </c>
      <c r="C49" s="16" t="s">
        <v>243</v>
      </c>
      <c r="U49" s="4" t="s">
        <v>86</v>
      </c>
    </row>
    <row r="50" spans="2:21" ht="25" customHeight="1">
      <c r="B50" s="1" t="s">
        <v>28</v>
      </c>
      <c r="C50" s="16" t="s">
        <v>243</v>
      </c>
      <c r="U50" s="4" t="s">
        <v>87</v>
      </c>
    </row>
    <row r="51" spans="2:21" ht="25" customHeight="1">
      <c r="B51" s="1" t="s">
        <v>29</v>
      </c>
      <c r="C51" s="16" t="s">
        <v>243</v>
      </c>
      <c r="U51" s="4" t="s">
        <v>88</v>
      </c>
    </row>
    <row r="52" spans="2:21" ht="25" customHeight="1">
      <c r="B52" s="1" t="s">
        <v>30</v>
      </c>
      <c r="C52" s="16" t="s">
        <v>243</v>
      </c>
      <c r="U52" s="4" t="s">
        <v>89</v>
      </c>
    </row>
    <row r="53" spans="2:21" ht="25" customHeight="1">
      <c r="B53" s="1" t="s">
        <v>31</v>
      </c>
      <c r="C53" s="16" t="s">
        <v>243</v>
      </c>
      <c r="U53" s="4" t="s">
        <v>90</v>
      </c>
    </row>
    <row r="54" spans="2:21" ht="25" customHeight="1">
      <c r="B54" s="1" t="s">
        <v>32</v>
      </c>
      <c r="C54" s="16" t="s">
        <v>243</v>
      </c>
      <c r="U54" s="4" t="s">
        <v>78</v>
      </c>
    </row>
    <row r="55" spans="2:21" ht="25" customHeight="1">
      <c r="B55" s="1" t="s">
        <v>33</v>
      </c>
      <c r="C55" s="16" t="s">
        <v>243</v>
      </c>
      <c r="U55" s="4" t="s">
        <v>91</v>
      </c>
    </row>
    <row r="56" spans="2:21" ht="25" customHeight="1">
      <c r="B56" s="1" t="s">
        <v>34</v>
      </c>
      <c r="C56" s="16" t="s">
        <v>243</v>
      </c>
      <c r="U56" s="4" t="s">
        <v>92</v>
      </c>
    </row>
    <row r="57" spans="2:21" ht="25" customHeight="1"/>
    <row r="58" spans="2:21" ht="25" customHeight="1"/>
    <row r="59" spans="2:21" ht="25" customHeight="1">
      <c r="B59" s="1" t="s">
        <v>35</v>
      </c>
    </row>
    <row r="60" spans="2:21" ht="25" customHeight="1"/>
    <row r="61" spans="2:21" ht="25" customHeight="1"/>
    <row r="62" spans="2:21" ht="25" customHeight="1"/>
    <row r="63" spans="2:21" ht="25" customHeight="1">
      <c r="B63" s="3" t="s">
        <v>1</v>
      </c>
      <c r="U63" s="3" t="s">
        <v>2</v>
      </c>
    </row>
    <row r="64" spans="2:21" ht="25" customHeight="1">
      <c r="B64" s="1" t="s">
        <v>36</v>
      </c>
      <c r="C64" s="16" t="s">
        <v>243</v>
      </c>
      <c r="U64" s="4" t="s">
        <v>93</v>
      </c>
    </row>
    <row r="65" spans="2:21" ht="25" customHeight="1">
      <c r="B65" s="1" t="s">
        <v>37</v>
      </c>
      <c r="C65" s="16" t="s">
        <v>243</v>
      </c>
      <c r="U65" s="4" t="s">
        <v>94</v>
      </c>
    </row>
    <row r="66" spans="2:21" ht="25" customHeight="1">
      <c r="B66" s="1" t="s">
        <v>38</v>
      </c>
      <c r="C66" s="16" t="s">
        <v>243</v>
      </c>
      <c r="U66" s="4" t="s">
        <v>95</v>
      </c>
    </row>
    <row r="67" spans="2:21" ht="25" customHeight="1">
      <c r="B67" s="1" t="s">
        <v>39</v>
      </c>
      <c r="C67" s="16" t="s">
        <v>243</v>
      </c>
      <c r="U67" s="4" t="s">
        <v>96</v>
      </c>
    </row>
    <row r="68" spans="2:21" ht="25" customHeight="1">
      <c r="B68" s="1" t="s">
        <v>40</v>
      </c>
      <c r="C68" s="16" t="s">
        <v>243</v>
      </c>
      <c r="U68" s="4" t="s">
        <v>97</v>
      </c>
    </row>
    <row r="69" spans="2:21" ht="25" customHeight="1">
      <c r="B69" s="1" t="s">
        <v>41</v>
      </c>
      <c r="C69" s="16" t="s">
        <v>243</v>
      </c>
      <c r="U69" s="4" t="s">
        <v>98</v>
      </c>
    </row>
    <row r="70" spans="2:21" ht="25" customHeight="1">
      <c r="B70" s="1" t="s">
        <v>42</v>
      </c>
      <c r="C70" s="16" t="s">
        <v>243</v>
      </c>
      <c r="U70" s="4" t="s">
        <v>99</v>
      </c>
    </row>
    <row r="71" spans="2:21" ht="25" customHeight="1">
      <c r="B71" s="1" t="s">
        <v>43</v>
      </c>
      <c r="C71" s="16" t="s">
        <v>243</v>
      </c>
      <c r="U71" s="4" t="s">
        <v>100</v>
      </c>
    </row>
    <row r="72" spans="2:21" ht="25" customHeight="1">
      <c r="B72" s="1" t="s">
        <v>44</v>
      </c>
      <c r="C72" s="16" t="s">
        <v>243</v>
      </c>
      <c r="U72" s="4" t="s">
        <v>101</v>
      </c>
    </row>
    <row r="73" spans="2:21" ht="25" customHeight="1">
      <c r="B73" s="1" t="s">
        <v>45</v>
      </c>
      <c r="C73" s="16" t="s">
        <v>243</v>
      </c>
      <c r="U73" s="4" t="s">
        <v>102</v>
      </c>
    </row>
    <row r="74" spans="2:21" ht="25" customHeight="1"/>
    <row r="75" spans="2:21" ht="25" customHeight="1"/>
    <row r="76" spans="2:21" ht="25" customHeight="1"/>
    <row r="77" spans="2:21" ht="25" customHeight="1"/>
    <row r="78" spans="2:21" ht="25" customHeight="1">
      <c r="B78" s="1" t="s">
        <v>46</v>
      </c>
    </row>
    <row r="79" spans="2:21" ht="25" customHeight="1"/>
    <row r="80" spans="2:21" ht="25" customHeight="1"/>
    <row r="81" spans="2:21" ht="25" customHeight="1">
      <c r="B81" s="3" t="s">
        <v>1</v>
      </c>
      <c r="U81" s="3" t="s">
        <v>2</v>
      </c>
    </row>
    <row r="82" spans="2:21" ht="25" customHeight="1">
      <c r="B82" s="3"/>
      <c r="U82" s="3"/>
    </row>
    <row r="83" spans="2:21" ht="25" customHeight="1">
      <c r="B83" s="1" t="s">
        <v>47</v>
      </c>
      <c r="C83" s="16" t="s">
        <v>243</v>
      </c>
      <c r="U83" s="5" t="s">
        <v>48</v>
      </c>
    </row>
    <row r="84" spans="2:21" ht="25" customHeight="1">
      <c r="B84" s="1" t="s">
        <v>49</v>
      </c>
      <c r="C84" s="16" t="s">
        <v>243</v>
      </c>
      <c r="U84" s="5" t="s">
        <v>50</v>
      </c>
    </row>
    <row r="85" spans="2:21" ht="25" customHeight="1">
      <c r="B85" s="1" t="s">
        <v>246</v>
      </c>
      <c r="C85" s="16" t="s">
        <v>243</v>
      </c>
      <c r="U85" s="5" t="s">
        <v>51</v>
      </c>
    </row>
    <row r="86" spans="2:21" ht="25" customHeight="1">
      <c r="B86" s="1" t="s">
        <v>52</v>
      </c>
      <c r="C86" s="16" t="s">
        <v>243</v>
      </c>
      <c r="U86" s="5" t="s">
        <v>53</v>
      </c>
    </row>
    <row r="87" spans="2:21" ht="25" customHeight="1">
      <c r="B87" s="1" t="s">
        <v>54</v>
      </c>
      <c r="C87" s="16" t="s">
        <v>243</v>
      </c>
      <c r="U87" s="5" t="s">
        <v>55</v>
      </c>
    </row>
    <row r="88" spans="2:21" ht="25" customHeight="1">
      <c r="B88" s="1" t="s">
        <v>56</v>
      </c>
      <c r="C88" s="16" t="s">
        <v>243</v>
      </c>
      <c r="U88" s="5" t="s">
        <v>57</v>
      </c>
    </row>
    <row r="89" spans="2:21" ht="25" customHeight="1">
      <c r="B89" s="1" t="s">
        <v>58</v>
      </c>
      <c r="C89" s="16" t="s">
        <v>243</v>
      </c>
      <c r="U89" s="5" t="s">
        <v>59</v>
      </c>
    </row>
    <row r="90" spans="2:21" ht="25" customHeight="1">
      <c r="B90" s="1" t="s">
        <v>60</v>
      </c>
      <c r="C90" s="16" t="s">
        <v>243</v>
      </c>
      <c r="U90" s="5" t="s">
        <v>61</v>
      </c>
    </row>
    <row r="91" spans="2:21" ht="25" customHeight="1">
      <c r="B91" s="1" t="s">
        <v>62</v>
      </c>
      <c r="C91" s="16" t="s">
        <v>243</v>
      </c>
      <c r="U91" s="5" t="s">
        <v>63</v>
      </c>
    </row>
    <row r="92" spans="2:21" ht="25" customHeight="1">
      <c r="B92" s="1" t="s">
        <v>64</v>
      </c>
      <c r="C92" s="16" t="s">
        <v>243</v>
      </c>
      <c r="U92" s="5" t="s">
        <v>65</v>
      </c>
    </row>
    <row r="93" spans="2:21" ht="25" customHeight="1"/>
    <row r="94" spans="2:21" ht="25" customHeight="1"/>
    <row r="96" spans="2:21">
      <c r="B96"/>
      <c r="U96"/>
    </row>
    <row r="97" spans="2:21">
      <c r="B97"/>
      <c r="U97"/>
    </row>
    <row r="98" spans="2:21" ht="25" customHeight="1">
      <c r="B98" s="3"/>
      <c r="U98" s="3" t="s">
        <v>2</v>
      </c>
    </row>
    <row r="99" spans="2:21" ht="25" customHeight="1">
      <c r="B99" s="6" t="s">
        <v>105</v>
      </c>
      <c r="U99" s="3"/>
    </row>
    <row r="100" spans="2:21" ht="25" customHeight="1">
      <c r="B100" s="3"/>
      <c r="C100" s="16" t="s">
        <v>243</v>
      </c>
      <c r="U100" s="3"/>
    </row>
    <row r="101" spans="2:21" ht="25" customHeight="1">
      <c r="B101" s="1" t="s">
        <v>107</v>
      </c>
      <c r="C101" s="16" t="s">
        <v>243</v>
      </c>
      <c r="U101" s="5" t="s">
        <v>106</v>
      </c>
    </row>
    <row r="102" spans="2:21" ht="25" customHeight="1">
      <c r="B102" s="1" t="s">
        <v>109</v>
      </c>
      <c r="C102" s="16" t="s">
        <v>243</v>
      </c>
      <c r="U102" s="5" t="s">
        <v>108</v>
      </c>
    </row>
    <row r="103" spans="2:21" ht="25" customHeight="1">
      <c r="B103" s="1" t="s">
        <v>111</v>
      </c>
      <c r="C103" s="16" t="s">
        <v>243</v>
      </c>
      <c r="U103" s="5" t="s">
        <v>110</v>
      </c>
    </row>
    <row r="104" spans="2:21" ht="25" customHeight="1">
      <c r="B104" s="1" t="s">
        <v>113</v>
      </c>
      <c r="C104" s="16" t="s">
        <v>243</v>
      </c>
      <c r="U104" s="5" t="s">
        <v>112</v>
      </c>
    </row>
    <row r="105" spans="2:21" ht="25" customHeight="1">
      <c r="B105" s="1" t="s">
        <v>115</v>
      </c>
      <c r="C105" s="16" t="s">
        <v>243</v>
      </c>
      <c r="U105" s="5" t="s">
        <v>114</v>
      </c>
    </row>
    <row r="106" spans="2:21" ht="25" customHeight="1">
      <c r="B106" s="1" t="s">
        <v>117</v>
      </c>
      <c r="C106" s="16" t="s">
        <v>243</v>
      </c>
      <c r="U106" s="5" t="s">
        <v>116</v>
      </c>
    </row>
    <row r="107" spans="2:21" ht="25" customHeight="1">
      <c r="B107" s="1" t="s">
        <v>119</v>
      </c>
      <c r="C107" s="16" t="s">
        <v>243</v>
      </c>
      <c r="U107" s="5" t="s">
        <v>118</v>
      </c>
    </row>
    <row r="108" spans="2:21" ht="25" customHeight="1">
      <c r="B108" s="1" t="s">
        <v>121</v>
      </c>
      <c r="C108" s="16" t="s">
        <v>243</v>
      </c>
      <c r="U108" s="5" t="s">
        <v>120</v>
      </c>
    </row>
    <row r="109" spans="2:21" ht="25" customHeight="1">
      <c r="B109" s="1" t="s">
        <v>123</v>
      </c>
      <c r="C109" s="16" t="s">
        <v>243</v>
      </c>
      <c r="U109" s="5" t="s">
        <v>122</v>
      </c>
    </row>
    <row r="110" spans="2:21" ht="25" customHeight="1">
      <c r="B110" s="1" t="s">
        <v>125</v>
      </c>
      <c r="C110" s="16" t="s">
        <v>243</v>
      </c>
      <c r="U110" s="5" t="s">
        <v>124</v>
      </c>
    </row>
    <row r="111" spans="2:21" ht="25" customHeight="1">
      <c r="B111" s="1"/>
      <c r="U111" s="5"/>
    </row>
    <row r="112" spans="2:21" ht="25" customHeight="1">
      <c r="B112" s="1"/>
      <c r="U112" s="5"/>
    </row>
    <row r="113" spans="2:21" ht="25" customHeight="1">
      <c r="B113" s="3" t="s">
        <v>126</v>
      </c>
      <c r="U113" s="10" t="s">
        <v>2</v>
      </c>
    </row>
    <row r="114" spans="2:21" ht="25" customHeight="1">
      <c r="B114" s="1"/>
      <c r="U114" s="5"/>
    </row>
    <row r="115" spans="2:21" ht="25" customHeight="1">
      <c r="B115" s="1" t="s">
        <v>128</v>
      </c>
      <c r="C115" s="16" t="s">
        <v>243</v>
      </c>
      <c r="U115" s="5" t="s">
        <v>127</v>
      </c>
    </row>
    <row r="116" spans="2:21" ht="25" customHeight="1">
      <c r="B116" s="1" t="s">
        <v>130</v>
      </c>
      <c r="C116" s="16" t="s">
        <v>243</v>
      </c>
      <c r="U116" s="5" t="s">
        <v>129</v>
      </c>
    </row>
    <row r="117" spans="2:21" ht="25" customHeight="1">
      <c r="B117" s="1" t="s">
        <v>132</v>
      </c>
      <c r="C117" s="16" t="s">
        <v>243</v>
      </c>
      <c r="U117" s="5" t="s">
        <v>131</v>
      </c>
    </row>
    <row r="118" spans="2:21" ht="25" customHeight="1">
      <c r="B118" s="1" t="s">
        <v>134</v>
      </c>
      <c r="C118" s="16" t="s">
        <v>243</v>
      </c>
      <c r="U118" s="5" t="s">
        <v>133</v>
      </c>
    </row>
    <row r="119" spans="2:21" ht="25" customHeight="1">
      <c r="B119" s="1" t="s">
        <v>136</v>
      </c>
      <c r="C119" s="16" t="s">
        <v>243</v>
      </c>
      <c r="U119" s="5" t="s">
        <v>135</v>
      </c>
    </row>
    <row r="120" spans="2:21" ht="25" customHeight="1">
      <c r="B120" s="1" t="s">
        <v>138</v>
      </c>
      <c r="C120" s="16" t="s">
        <v>243</v>
      </c>
      <c r="U120" s="5" t="s">
        <v>137</v>
      </c>
    </row>
    <row r="121" spans="2:21" ht="25" customHeight="1">
      <c r="B121" s="1" t="s">
        <v>140</v>
      </c>
      <c r="C121" s="16" t="s">
        <v>243</v>
      </c>
      <c r="U121" s="5" t="s">
        <v>139</v>
      </c>
    </row>
    <row r="122" spans="2:21" ht="25" customHeight="1">
      <c r="B122" s="1" t="s">
        <v>142</v>
      </c>
      <c r="C122" s="16" t="s">
        <v>243</v>
      </c>
      <c r="U122" s="5" t="s">
        <v>141</v>
      </c>
    </row>
    <row r="123" spans="2:21" ht="25" customHeight="1">
      <c r="B123" s="1" t="s">
        <v>144</v>
      </c>
      <c r="C123" s="16" t="s">
        <v>243</v>
      </c>
      <c r="U123" s="5" t="s">
        <v>143</v>
      </c>
    </row>
    <row r="124" spans="2:21" ht="25" customHeight="1">
      <c r="B124" s="1" t="s">
        <v>146</v>
      </c>
      <c r="C124" s="16" t="s">
        <v>243</v>
      </c>
      <c r="U124" s="5" t="s">
        <v>145</v>
      </c>
    </row>
    <row r="125" spans="2:21" ht="25" customHeight="1">
      <c r="B125" s="1"/>
      <c r="U125" s="5"/>
    </row>
    <row r="126" spans="2:21" ht="25" customHeight="1">
      <c r="B126" s="1"/>
      <c r="U126" s="5"/>
    </row>
    <row r="127" spans="2:21" ht="25" customHeight="1">
      <c r="B127" s="3" t="s">
        <v>147</v>
      </c>
      <c r="U127" s="10" t="s">
        <v>2</v>
      </c>
    </row>
    <row r="128" spans="2:21" ht="25" customHeight="1">
      <c r="B128" s="1"/>
      <c r="U128" s="5"/>
    </row>
    <row r="129" spans="2:21" ht="25" customHeight="1">
      <c r="B129" s="1" t="s">
        <v>107</v>
      </c>
      <c r="C129" s="16" t="s">
        <v>243</v>
      </c>
      <c r="U129" s="5" t="s">
        <v>148</v>
      </c>
    </row>
    <row r="130" spans="2:21" ht="25" customHeight="1">
      <c r="B130" s="1" t="s">
        <v>150</v>
      </c>
      <c r="C130" s="16" t="s">
        <v>243</v>
      </c>
      <c r="U130" s="5" t="s">
        <v>149</v>
      </c>
    </row>
    <row r="131" spans="2:21" ht="25" customHeight="1">
      <c r="B131" s="1" t="s">
        <v>152</v>
      </c>
      <c r="C131" s="16" t="s">
        <v>243</v>
      </c>
      <c r="U131" s="5" t="s">
        <v>151</v>
      </c>
    </row>
    <row r="132" spans="2:21" ht="25" customHeight="1">
      <c r="B132" s="1" t="s">
        <v>154</v>
      </c>
      <c r="C132" s="16" t="s">
        <v>243</v>
      </c>
      <c r="U132" s="5" t="s">
        <v>153</v>
      </c>
    </row>
    <row r="133" spans="2:21" ht="25" customHeight="1">
      <c r="B133" s="1" t="s">
        <v>156</v>
      </c>
      <c r="C133" s="16" t="s">
        <v>243</v>
      </c>
      <c r="U133" s="5" t="s">
        <v>155</v>
      </c>
    </row>
    <row r="134" spans="2:21" ht="25" customHeight="1">
      <c r="B134" s="1" t="s">
        <v>158</v>
      </c>
      <c r="C134" s="16" t="s">
        <v>243</v>
      </c>
      <c r="U134" s="5" t="s">
        <v>157</v>
      </c>
    </row>
    <row r="135" spans="2:21" ht="25" customHeight="1">
      <c r="B135" s="1" t="s">
        <v>160</v>
      </c>
      <c r="C135" s="16" t="s">
        <v>243</v>
      </c>
      <c r="U135" s="5" t="s">
        <v>159</v>
      </c>
    </row>
    <row r="136" spans="2:21" ht="25" customHeight="1">
      <c r="B136" s="1" t="s">
        <v>162</v>
      </c>
      <c r="C136" s="16" t="s">
        <v>243</v>
      </c>
      <c r="U136" s="5" t="s">
        <v>161</v>
      </c>
    </row>
    <row r="137" spans="2:21" ht="25" customHeight="1">
      <c r="B137" s="1" t="s">
        <v>164</v>
      </c>
      <c r="C137" s="16" t="s">
        <v>243</v>
      </c>
      <c r="U137" s="5" t="s">
        <v>163</v>
      </c>
    </row>
    <row r="138" spans="2:21" ht="25" customHeight="1">
      <c r="B138" s="1" t="s">
        <v>166</v>
      </c>
      <c r="C138" s="16" t="s">
        <v>243</v>
      </c>
      <c r="U138" s="5" t="s">
        <v>165</v>
      </c>
    </row>
    <row r="139" spans="2:21" ht="25" customHeight="1">
      <c r="B139" s="1"/>
      <c r="C139" s="16" t="s">
        <v>243</v>
      </c>
      <c r="U139" s="5"/>
    </row>
    <row r="140" spans="2:21" ht="25" customHeight="1">
      <c r="B140" s="1"/>
      <c r="C140" s="16" t="s">
        <v>243</v>
      </c>
      <c r="U140" s="5"/>
    </row>
    <row r="141" spans="2:21" ht="25" customHeight="1">
      <c r="B141" s="3" t="s">
        <v>167</v>
      </c>
      <c r="C141" s="16" t="s">
        <v>243</v>
      </c>
      <c r="U141" s="10" t="s">
        <v>2</v>
      </c>
    </row>
    <row r="142" spans="2:21" ht="25" customHeight="1">
      <c r="B142" s="1"/>
      <c r="C142" s="16" t="s">
        <v>243</v>
      </c>
      <c r="U142" s="5"/>
    </row>
    <row r="143" spans="2:21" ht="25" customHeight="1">
      <c r="B143" s="1" t="s">
        <v>169</v>
      </c>
      <c r="C143" s="16" t="s">
        <v>243</v>
      </c>
      <c r="U143" s="5" t="s">
        <v>168</v>
      </c>
    </row>
    <row r="144" spans="2:21" ht="25" customHeight="1">
      <c r="B144" s="1" t="s">
        <v>171</v>
      </c>
      <c r="C144" s="16" t="s">
        <v>243</v>
      </c>
      <c r="U144" s="5" t="s">
        <v>170</v>
      </c>
    </row>
    <row r="145" spans="2:21" ht="25" customHeight="1">
      <c r="B145" s="1" t="s">
        <v>173</v>
      </c>
      <c r="C145" s="16" t="s">
        <v>243</v>
      </c>
      <c r="U145" s="5" t="s">
        <v>172</v>
      </c>
    </row>
    <row r="146" spans="2:21" ht="25" customHeight="1">
      <c r="B146" s="1" t="s">
        <v>175</v>
      </c>
      <c r="C146" s="16" t="s">
        <v>243</v>
      </c>
      <c r="U146" s="5" t="s">
        <v>174</v>
      </c>
    </row>
    <row r="147" spans="2:21" ht="25" customHeight="1">
      <c r="B147" s="1" t="s">
        <v>177</v>
      </c>
      <c r="C147" s="16" t="s">
        <v>243</v>
      </c>
      <c r="U147" s="5" t="s">
        <v>176</v>
      </c>
    </row>
    <row r="148" spans="2:21" ht="25" customHeight="1">
      <c r="B148" s="1" t="s">
        <v>179</v>
      </c>
      <c r="C148" s="16" t="s">
        <v>243</v>
      </c>
      <c r="U148" s="5" t="s">
        <v>178</v>
      </c>
    </row>
    <row r="149" spans="2:21" ht="25" customHeight="1">
      <c r="B149" s="1" t="s">
        <v>181</v>
      </c>
      <c r="C149" s="16" t="s">
        <v>243</v>
      </c>
      <c r="U149" s="5" t="s">
        <v>180</v>
      </c>
    </row>
    <row r="150" spans="2:21" ht="25" customHeight="1">
      <c r="B150" s="1" t="s">
        <v>183</v>
      </c>
      <c r="C150" s="16" t="s">
        <v>243</v>
      </c>
      <c r="U150" s="5" t="s">
        <v>182</v>
      </c>
    </row>
    <row r="151" spans="2:21" ht="25" customHeight="1">
      <c r="B151" s="1" t="s">
        <v>185</v>
      </c>
      <c r="C151" s="16" t="s">
        <v>243</v>
      </c>
      <c r="U151" s="5" t="s">
        <v>184</v>
      </c>
    </row>
    <row r="152" spans="2:21" ht="25" customHeight="1">
      <c r="B152" s="1" t="s">
        <v>187</v>
      </c>
      <c r="C152" s="16" t="s">
        <v>243</v>
      </c>
      <c r="U152" s="5" t="s">
        <v>186</v>
      </c>
    </row>
    <row r="153" spans="2:21" ht="25" customHeight="1">
      <c r="B153" s="1"/>
      <c r="U153" s="5"/>
    </row>
    <row r="154" spans="2:21" ht="25" customHeight="1">
      <c r="B154" s="1"/>
      <c r="U154" s="5"/>
    </row>
    <row r="155" spans="2:21" ht="25" customHeight="1">
      <c r="B155" s="1"/>
      <c r="U155" s="5"/>
    </row>
    <row r="156" spans="2:21" ht="25" customHeight="1">
      <c r="B156" s="3" t="s">
        <v>188</v>
      </c>
      <c r="U156" s="10" t="s">
        <v>2</v>
      </c>
    </row>
    <row r="157" spans="2:21" ht="25" customHeight="1">
      <c r="B157" s="1"/>
      <c r="U157" s="5"/>
    </row>
    <row r="158" spans="2:21" ht="25" customHeight="1">
      <c r="B158" s="1" t="s">
        <v>190</v>
      </c>
      <c r="C158" s="16" t="s">
        <v>243</v>
      </c>
      <c r="U158" s="5" t="s">
        <v>189</v>
      </c>
    </row>
    <row r="159" spans="2:21" ht="25" customHeight="1">
      <c r="B159" s="1" t="s">
        <v>192</v>
      </c>
      <c r="C159" s="16" t="s">
        <v>243</v>
      </c>
      <c r="U159" s="5" t="s">
        <v>191</v>
      </c>
    </row>
    <row r="160" spans="2:21" ht="25" customHeight="1">
      <c r="B160" s="1" t="s">
        <v>194</v>
      </c>
      <c r="C160" s="16" t="s">
        <v>243</v>
      </c>
      <c r="U160" s="5" t="s">
        <v>193</v>
      </c>
    </row>
    <row r="161" spans="2:21" ht="25" customHeight="1">
      <c r="B161" s="1" t="s">
        <v>196</v>
      </c>
      <c r="C161" s="16" t="s">
        <v>243</v>
      </c>
      <c r="U161" s="5" t="s">
        <v>195</v>
      </c>
    </row>
    <row r="162" spans="2:21" ht="25" customHeight="1">
      <c r="B162" s="1" t="s">
        <v>198</v>
      </c>
      <c r="C162" s="16" t="s">
        <v>243</v>
      </c>
      <c r="U162" s="5" t="s">
        <v>197</v>
      </c>
    </row>
    <row r="163" spans="2:21" ht="25" customHeight="1">
      <c r="B163" s="1" t="s">
        <v>200</v>
      </c>
      <c r="C163" s="16" t="s">
        <v>243</v>
      </c>
      <c r="U163" s="5" t="s">
        <v>199</v>
      </c>
    </row>
    <row r="164" spans="2:21" ht="25" customHeight="1">
      <c r="B164" s="1" t="s">
        <v>202</v>
      </c>
      <c r="C164" s="16" t="s">
        <v>243</v>
      </c>
      <c r="U164" s="5" t="s">
        <v>201</v>
      </c>
    </row>
    <row r="165" spans="2:21" ht="25" customHeight="1">
      <c r="B165" s="1" t="s">
        <v>204</v>
      </c>
      <c r="C165" s="16" t="s">
        <v>243</v>
      </c>
      <c r="U165" s="5" t="s">
        <v>203</v>
      </c>
    </row>
    <row r="166" spans="2:21" ht="25" customHeight="1">
      <c r="B166" s="1" t="s">
        <v>206</v>
      </c>
      <c r="C166" s="16" t="s">
        <v>243</v>
      </c>
      <c r="U166" s="5" t="s">
        <v>205</v>
      </c>
    </row>
    <row r="167" spans="2:21" ht="25" customHeight="1">
      <c r="B167" s="1" t="s">
        <v>208</v>
      </c>
      <c r="C167" s="16" t="s">
        <v>243</v>
      </c>
      <c r="U167" s="5" t="s">
        <v>207</v>
      </c>
    </row>
    <row r="168" spans="2:21">
      <c r="C168" s="14"/>
    </row>
    <row r="169" spans="2:21">
      <c r="B169"/>
      <c r="C169" s="14"/>
      <c r="U16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C6C9-B757-4704-ACCA-0C07AB3A4427}">
  <dimension ref="A1:I48"/>
  <sheetViews>
    <sheetView topLeftCell="C33" zoomScaleNormal="100" workbookViewId="0">
      <selection activeCell="H39" sqref="H39"/>
    </sheetView>
  </sheetViews>
  <sheetFormatPr defaultRowHeight="14.5"/>
  <cols>
    <col min="1" max="1" width="12" customWidth="1"/>
    <col min="2" max="2" width="19.08984375" bestFit="1" customWidth="1"/>
    <col min="3" max="3" width="20.36328125" bestFit="1" customWidth="1"/>
    <col min="4" max="4" width="20.1796875" bestFit="1" customWidth="1"/>
    <col min="5" max="5" width="25.36328125" bestFit="1" customWidth="1"/>
    <col min="6" max="6" width="16.54296875" style="14" customWidth="1"/>
    <col min="7" max="7" width="11.453125" bestFit="1" customWidth="1"/>
    <col min="8" max="8" width="22.81640625" bestFit="1" customWidth="1"/>
    <col min="9" max="9" width="23.54296875" bestFit="1" customWidth="1"/>
  </cols>
  <sheetData>
    <row r="1" spans="1:9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s="14" t="s">
        <v>252</v>
      </c>
      <c r="G1" t="s">
        <v>253</v>
      </c>
      <c r="H1" s="11"/>
      <c r="I1" s="11"/>
    </row>
    <row r="2" spans="1:9">
      <c r="A2">
        <v>0</v>
      </c>
      <c r="B2" t="s">
        <v>256</v>
      </c>
      <c r="C2" t="s">
        <v>257</v>
      </c>
      <c r="D2" t="s">
        <v>258</v>
      </c>
      <c r="E2" t="s">
        <v>259</v>
      </c>
      <c r="F2" s="14">
        <v>3559</v>
      </c>
      <c r="G2" s="12">
        <v>44391</v>
      </c>
      <c r="H2" s="11"/>
      <c r="I2" s="13"/>
    </row>
    <row r="3" spans="1:9">
      <c r="A3">
        <v>3</v>
      </c>
      <c r="B3" t="s">
        <v>260</v>
      </c>
      <c r="C3" t="s">
        <v>261</v>
      </c>
      <c r="D3" t="s">
        <v>258</v>
      </c>
      <c r="E3" t="s">
        <v>262</v>
      </c>
      <c r="F3" s="14">
        <v>2979</v>
      </c>
      <c r="G3" s="12">
        <v>44391</v>
      </c>
      <c r="H3" s="11"/>
      <c r="I3" s="13"/>
    </row>
    <row r="4" spans="1:9">
      <c r="A4">
        <v>2</v>
      </c>
      <c r="B4" t="s">
        <v>263</v>
      </c>
      <c r="C4" t="s">
        <v>264</v>
      </c>
      <c r="D4" t="s">
        <v>258</v>
      </c>
      <c r="E4" t="s">
        <v>265</v>
      </c>
      <c r="F4" s="14">
        <v>3718</v>
      </c>
      <c r="G4" s="12">
        <v>44391</v>
      </c>
      <c r="H4" s="11"/>
      <c r="I4" s="13"/>
    </row>
    <row r="5" spans="1:9">
      <c r="A5">
        <v>2</v>
      </c>
      <c r="B5" t="s">
        <v>266</v>
      </c>
      <c r="C5" t="s">
        <v>267</v>
      </c>
      <c r="D5" t="s">
        <v>258</v>
      </c>
      <c r="E5" t="s">
        <v>268</v>
      </c>
      <c r="F5" s="14">
        <v>3566</v>
      </c>
      <c r="G5" s="12">
        <v>44391</v>
      </c>
      <c r="H5" s="11"/>
      <c r="I5" s="13"/>
    </row>
    <row r="6" spans="1:9">
      <c r="A6">
        <v>1</v>
      </c>
      <c r="B6" t="s">
        <v>269</v>
      </c>
      <c r="C6" t="s">
        <v>270</v>
      </c>
      <c r="D6" t="s">
        <v>258</v>
      </c>
      <c r="E6" t="s">
        <v>271</v>
      </c>
      <c r="F6" s="14">
        <v>3620</v>
      </c>
      <c r="G6" s="12">
        <v>44391</v>
      </c>
      <c r="H6" s="11"/>
      <c r="I6" s="13"/>
    </row>
    <row r="7" spans="1:9">
      <c r="A7">
        <v>0</v>
      </c>
      <c r="B7" t="s">
        <v>272</v>
      </c>
      <c r="C7" t="s">
        <v>273</v>
      </c>
      <c r="D7" t="s">
        <v>258</v>
      </c>
      <c r="E7" t="s">
        <v>274</v>
      </c>
      <c r="F7" s="14">
        <v>2931</v>
      </c>
      <c r="G7" s="12">
        <v>44391</v>
      </c>
      <c r="H7" s="11"/>
      <c r="I7" s="13"/>
    </row>
    <row r="8" spans="1:9">
      <c r="A8">
        <v>1</v>
      </c>
      <c r="B8" t="s">
        <v>275</v>
      </c>
      <c r="C8" t="s">
        <v>276</v>
      </c>
      <c r="D8" t="s">
        <v>258</v>
      </c>
      <c r="E8" t="s">
        <v>277</v>
      </c>
      <c r="F8" s="14">
        <v>2727</v>
      </c>
      <c r="G8" s="12">
        <v>44391</v>
      </c>
      <c r="H8" s="11"/>
      <c r="I8" s="13"/>
    </row>
    <row r="9" spans="1:9">
      <c r="A9">
        <v>5</v>
      </c>
      <c r="B9" t="s">
        <v>278</v>
      </c>
      <c r="C9" t="s">
        <v>279</v>
      </c>
      <c r="D9" t="s">
        <v>254</v>
      </c>
      <c r="E9" t="s">
        <v>280</v>
      </c>
      <c r="F9" s="14">
        <v>2086</v>
      </c>
      <c r="G9" s="12">
        <v>44391</v>
      </c>
      <c r="H9" s="11"/>
      <c r="I9" s="13"/>
    </row>
    <row r="10" spans="1:9">
      <c r="A10">
        <v>5</v>
      </c>
      <c r="B10" t="s">
        <v>281</v>
      </c>
      <c r="C10" t="s">
        <v>282</v>
      </c>
      <c r="D10" t="s">
        <v>258</v>
      </c>
      <c r="E10" t="s">
        <v>283</v>
      </c>
      <c r="F10" s="14">
        <v>4000</v>
      </c>
      <c r="G10" s="12">
        <v>44391</v>
      </c>
      <c r="H10" s="11"/>
      <c r="I10" s="13"/>
    </row>
    <row r="11" spans="1:9">
      <c r="A11">
        <v>5</v>
      </c>
      <c r="B11" t="s">
        <v>284</v>
      </c>
      <c r="C11" t="s">
        <v>285</v>
      </c>
      <c r="D11" t="s">
        <v>258</v>
      </c>
      <c r="E11" t="s">
        <v>286</v>
      </c>
      <c r="F11" s="14">
        <v>2308</v>
      </c>
      <c r="G11" s="12">
        <v>44391</v>
      </c>
      <c r="H11" s="11"/>
      <c r="I11" s="13"/>
    </row>
    <row r="12" spans="1:9">
      <c r="A12">
        <v>1</v>
      </c>
      <c r="B12" t="s">
        <v>287</v>
      </c>
      <c r="C12" t="s">
        <v>288</v>
      </c>
      <c r="D12" t="s">
        <v>258</v>
      </c>
      <c r="E12" t="s">
        <v>289</v>
      </c>
      <c r="F12" s="14">
        <v>3428</v>
      </c>
      <c r="G12" s="12">
        <v>44391</v>
      </c>
      <c r="H12" s="11"/>
      <c r="I12" s="13"/>
    </row>
    <row r="13" spans="1:9">
      <c r="A13">
        <v>5</v>
      </c>
      <c r="B13" t="s">
        <v>290</v>
      </c>
      <c r="C13" t="s">
        <v>291</v>
      </c>
      <c r="D13" t="s">
        <v>255</v>
      </c>
      <c r="E13" t="s">
        <v>292</v>
      </c>
      <c r="F13" s="14">
        <v>3289</v>
      </c>
      <c r="G13" s="12">
        <v>44391</v>
      </c>
      <c r="H13" s="11"/>
      <c r="I13" s="13"/>
    </row>
    <row r="14" spans="1:9">
      <c r="A14">
        <v>4</v>
      </c>
      <c r="B14" t="s">
        <v>293</v>
      </c>
      <c r="C14" t="s">
        <v>294</v>
      </c>
      <c r="D14" t="s">
        <v>255</v>
      </c>
      <c r="E14" t="s">
        <v>295</v>
      </c>
      <c r="F14" s="14">
        <v>3202</v>
      </c>
      <c r="G14" s="12">
        <v>44391</v>
      </c>
      <c r="H14" s="11"/>
      <c r="I14" s="13"/>
    </row>
    <row r="15" spans="1:9">
      <c r="A15">
        <v>2</v>
      </c>
      <c r="B15" t="s">
        <v>296</v>
      </c>
      <c r="C15" t="s">
        <v>297</v>
      </c>
      <c r="D15" t="s">
        <v>258</v>
      </c>
      <c r="E15" t="s">
        <v>298</v>
      </c>
      <c r="F15" s="14">
        <v>2069</v>
      </c>
      <c r="G15" s="12">
        <v>44391</v>
      </c>
      <c r="H15" s="11"/>
      <c r="I15" s="13"/>
    </row>
    <row r="16" spans="1:9">
      <c r="A16">
        <v>0</v>
      </c>
      <c r="B16" t="s">
        <v>299</v>
      </c>
      <c r="C16" t="s">
        <v>267</v>
      </c>
      <c r="D16" t="s">
        <v>254</v>
      </c>
      <c r="E16" t="s">
        <v>300</v>
      </c>
      <c r="F16" s="14">
        <v>3313</v>
      </c>
      <c r="G16" s="12">
        <v>44391</v>
      </c>
      <c r="H16" s="11"/>
      <c r="I16" s="13"/>
    </row>
    <row r="17" spans="1:9">
      <c r="A17">
        <v>3</v>
      </c>
      <c r="B17" t="s">
        <v>301</v>
      </c>
      <c r="C17" t="s">
        <v>302</v>
      </c>
      <c r="D17" t="s">
        <v>254</v>
      </c>
      <c r="E17" t="s">
        <v>303</v>
      </c>
      <c r="F17" s="14">
        <v>3176</v>
      </c>
      <c r="G17" s="12">
        <v>44391</v>
      </c>
      <c r="H17" s="11"/>
      <c r="I17" s="13"/>
    </row>
    <row r="18" spans="1:9">
      <c r="A18">
        <v>5</v>
      </c>
      <c r="B18" t="s">
        <v>304</v>
      </c>
      <c r="C18" t="s">
        <v>305</v>
      </c>
      <c r="D18" t="s">
        <v>255</v>
      </c>
      <c r="E18" t="s">
        <v>306</v>
      </c>
      <c r="F18" s="14">
        <v>3433</v>
      </c>
      <c r="G18" s="12">
        <v>44391</v>
      </c>
      <c r="H18" s="11"/>
      <c r="I18" s="13"/>
    </row>
    <row r="19" spans="1:9">
      <c r="A19">
        <v>5</v>
      </c>
      <c r="B19" t="s">
        <v>307</v>
      </c>
      <c r="C19" t="s">
        <v>308</v>
      </c>
      <c r="D19" t="s">
        <v>258</v>
      </c>
      <c r="E19" t="s">
        <v>309</v>
      </c>
      <c r="F19" s="14">
        <v>2496</v>
      </c>
      <c r="G19" s="12">
        <v>44391</v>
      </c>
      <c r="H19" s="11"/>
      <c r="I19" s="13"/>
    </row>
    <row r="20" spans="1:9">
      <c r="A20">
        <v>0</v>
      </c>
      <c r="B20" t="s">
        <v>310</v>
      </c>
      <c r="C20" t="s">
        <v>273</v>
      </c>
      <c r="D20" t="s">
        <v>258</v>
      </c>
      <c r="E20" t="s">
        <v>311</v>
      </c>
      <c r="F20" s="14">
        <v>3091</v>
      </c>
      <c r="G20" s="12">
        <v>44391</v>
      </c>
      <c r="H20" s="11"/>
      <c r="I20" s="13"/>
    </row>
    <row r="21" spans="1:9">
      <c r="A21">
        <v>0</v>
      </c>
      <c r="B21" t="s">
        <v>312</v>
      </c>
      <c r="C21" t="s">
        <v>297</v>
      </c>
      <c r="D21" t="s">
        <v>258</v>
      </c>
      <c r="E21" t="s">
        <v>313</v>
      </c>
      <c r="F21" s="14">
        <v>3748</v>
      </c>
      <c r="G21" s="12">
        <v>44391</v>
      </c>
      <c r="H21" s="11"/>
      <c r="I21" s="13"/>
    </row>
    <row r="22" spans="1:9">
      <c r="A22">
        <v>4</v>
      </c>
      <c r="B22" t="s">
        <v>314</v>
      </c>
      <c r="C22" t="s">
        <v>315</v>
      </c>
      <c r="D22" t="s">
        <v>255</v>
      </c>
      <c r="E22" t="s">
        <v>316</v>
      </c>
      <c r="F22" s="14">
        <v>2801</v>
      </c>
      <c r="G22" s="12">
        <v>44391</v>
      </c>
      <c r="H22" s="11"/>
      <c r="I22" s="13"/>
    </row>
    <row r="23" spans="1:9">
      <c r="A23">
        <v>0</v>
      </c>
      <c r="B23" t="s">
        <v>317</v>
      </c>
      <c r="C23" t="s">
        <v>318</v>
      </c>
      <c r="D23" t="s">
        <v>255</v>
      </c>
      <c r="E23" t="s">
        <v>319</v>
      </c>
      <c r="F23" s="14">
        <v>2947</v>
      </c>
      <c r="G23" s="12">
        <v>44391</v>
      </c>
      <c r="H23" s="11"/>
      <c r="I23" s="13"/>
    </row>
    <row r="24" spans="1:9">
      <c r="A24">
        <v>1</v>
      </c>
      <c r="B24" t="s">
        <v>320</v>
      </c>
      <c r="C24" t="s">
        <v>321</v>
      </c>
      <c r="D24" t="s">
        <v>258</v>
      </c>
      <c r="E24" t="s">
        <v>322</v>
      </c>
      <c r="F24" s="14">
        <v>2851</v>
      </c>
      <c r="G24" s="12">
        <v>44391</v>
      </c>
      <c r="H24" s="11"/>
      <c r="I24" s="13"/>
    </row>
    <row r="25" spans="1:9">
      <c r="A25">
        <v>2</v>
      </c>
      <c r="B25" t="s">
        <v>323</v>
      </c>
      <c r="C25" t="s">
        <v>324</v>
      </c>
      <c r="D25" t="s">
        <v>255</v>
      </c>
      <c r="E25" t="s">
        <v>325</v>
      </c>
      <c r="F25" s="14">
        <v>2014</v>
      </c>
      <c r="G25" s="12">
        <v>44391</v>
      </c>
      <c r="H25" s="11"/>
      <c r="I25" s="13"/>
    </row>
    <row r="26" spans="1:9">
      <c r="A26">
        <v>5</v>
      </c>
      <c r="B26" t="s">
        <v>326</v>
      </c>
      <c r="C26" t="s">
        <v>327</v>
      </c>
      <c r="D26" t="s">
        <v>258</v>
      </c>
      <c r="E26" t="s">
        <v>328</v>
      </c>
      <c r="F26" s="14">
        <v>2359</v>
      </c>
      <c r="G26" s="12">
        <v>44391</v>
      </c>
      <c r="H26" s="11"/>
      <c r="I26" s="13"/>
    </row>
    <row r="27" spans="1:9">
      <c r="A27">
        <v>2</v>
      </c>
      <c r="B27" t="s">
        <v>329</v>
      </c>
      <c r="C27" t="s">
        <v>330</v>
      </c>
      <c r="D27" t="s">
        <v>254</v>
      </c>
      <c r="E27" t="s">
        <v>331</v>
      </c>
      <c r="F27" s="14">
        <v>2608</v>
      </c>
      <c r="G27" s="12">
        <v>44391</v>
      </c>
      <c r="H27" s="11"/>
      <c r="I27" s="13"/>
    </row>
    <row r="28" spans="1:9">
      <c r="A28">
        <v>5</v>
      </c>
      <c r="B28" t="s">
        <v>332</v>
      </c>
      <c r="C28" t="s">
        <v>333</v>
      </c>
      <c r="D28" t="s">
        <v>255</v>
      </c>
      <c r="E28" t="s">
        <v>334</v>
      </c>
      <c r="F28" s="14">
        <v>2770</v>
      </c>
      <c r="G28" s="12">
        <v>44391</v>
      </c>
      <c r="H28" s="11"/>
      <c r="I28" s="13"/>
    </row>
    <row r="29" spans="1:9">
      <c r="A29">
        <v>2</v>
      </c>
      <c r="B29" t="s">
        <v>335</v>
      </c>
      <c r="C29" t="s">
        <v>273</v>
      </c>
      <c r="D29" t="s">
        <v>255</v>
      </c>
      <c r="E29" t="s">
        <v>336</v>
      </c>
      <c r="F29" s="14">
        <v>2229</v>
      </c>
      <c r="G29" s="12">
        <v>44391</v>
      </c>
      <c r="H29" s="11"/>
      <c r="I29" s="13"/>
    </row>
    <row r="30" spans="1:9">
      <c r="A30">
        <v>1</v>
      </c>
      <c r="B30" t="s">
        <v>337</v>
      </c>
      <c r="C30" t="s">
        <v>338</v>
      </c>
      <c r="D30" t="s">
        <v>258</v>
      </c>
      <c r="E30" t="s">
        <v>339</v>
      </c>
      <c r="F30" s="14">
        <v>2790</v>
      </c>
      <c r="G30" s="12">
        <v>44391</v>
      </c>
      <c r="H30" s="11"/>
      <c r="I30" s="13"/>
    </row>
    <row r="31" spans="1:9">
      <c r="A31">
        <v>4</v>
      </c>
      <c r="B31" t="s">
        <v>340</v>
      </c>
      <c r="C31" t="s">
        <v>341</v>
      </c>
      <c r="D31" t="s">
        <v>258</v>
      </c>
      <c r="E31" t="s">
        <v>342</v>
      </c>
      <c r="F31" s="14">
        <v>3957</v>
      </c>
      <c r="G31" s="12">
        <v>44391</v>
      </c>
      <c r="H31" s="11"/>
      <c r="I31" s="13"/>
    </row>
    <row r="32" spans="1:9">
      <c r="A32" s="11"/>
      <c r="B32" s="11"/>
      <c r="C32" s="11"/>
      <c r="D32" s="11"/>
      <c r="E32" s="11"/>
      <c r="F32" s="15"/>
      <c r="G32" s="11"/>
      <c r="H32" s="11"/>
      <c r="I32" s="13"/>
    </row>
    <row r="33" spans="1:9">
      <c r="A33" s="11"/>
      <c r="B33" s="11"/>
      <c r="C33" s="11"/>
      <c r="D33" s="11"/>
      <c r="E33" s="11"/>
      <c r="F33" s="15"/>
      <c r="G33" s="11"/>
      <c r="H33" s="11"/>
      <c r="I33" s="13"/>
    </row>
    <row r="34" spans="1:9">
      <c r="A34" s="11"/>
      <c r="B34" s="11"/>
      <c r="C34" s="11"/>
      <c r="D34" s="11"/>
      <c r="E34" s="50" t="s">
        <v>438</v>
      </c>
      <c r="F34" s="51">
        <f>SUM(F2:F31)</f>
        <v>90065</v>
      </c>
      <c r="G34" s="18"/>
      <c r="H34" s="11"/>
      <c r="I34" s="13"/>
    </row>
    <row r="35" spans="1:9">
      <c r="A35" s="11"/>
      <c r="B35" s="11"/>
      <c r="C35" s="11"/>
      <c r="D35" s="11"/>
      <c r="E35" s="50" t="s">
        <v>436</v>
      </c>
      <c r="F35" s="51">
        <f>AVERAGE(F2:F31)</f>
        <v>3002.1666666666665</v>
      </c>
      <c r="G35" s="18"/>
      <c r="H35" s="11"/>
      <c r="I35" s="13"/>
    </row>
    <row r="36" spans="1:9">
      <c r="A36" s="11"/>
      <c r="B36" s="11"/>
      <c r="C36" s="11"/>
      <c r="D36" s="11"/>
      <c r="E36" s="52" t="s">
        <v>437</v>
      </c>
      <c r="F36" s="51" t="str" cm="1">
        <f t="array" ref="F36:F41">TRIM(E2:E7)</f>
        <v>Agnesse Olrenshaw</v>
      </c>
      <c r="G36" s="18"/>
      <c r="H36" s="11"/>
      <c r="I36" s="13"/>
    </row>
    <row r="37" spans="1:9">
      <c r="A37" s="11"/>
      <c r="B37" s="11"/>
      <c r="C37" s="11"/>
      <c r="D37" s="11" t="str">
        <f>TRIM(E34)</f>
        <v>Total Of Salary</v>
      </c>
      <c r="E37" s="52"/>
      <c r="F37" s="51" t="str">
        <v>Sal Watsam</v>
      </c>
      <c r="G37" s="18"/>
      <c r="H37" s="11"/>
      <c r="I37" s="13"/>
    </row>
    <row r="38" spans="1:9">
      <c r="A38" s="11"/>
      <c r="B38" s="11"/>
      <c r="C38" s="11"/>
      <c r="D38" s="11"/>
      <c r="E38" s="52"/>
      <c r="F38" s="51" t="str">
        <v>Roldan Burnage</v>
      </c>
      <c r="G38" s="18"/>
      <c r="H38" s="11"/>
      <c r="I38" s="13"/>
    </row>
    <row r="39" spans="1:9">
      <c r="A39" s="11"/>
      <c r="B39" s="11"/>
      <c r="C39" s="11"/>
      <c r="D39" s="11"/>
      <c r="E39" s="52"/>
      <c r="F39" s="51" t="str">
        <v>Maurizio Adhams</v>
      </c>
      <c r="G39" s="18"/>
      <c r="H39" s="11"/>
      <c r="I39" s="13"/>
    </row>
    <row r="40" spans="1:9">
      <c r="A40" s="11"/>
      <c r="B40" s="11"/>
      <c r="C40" s="11"/>
      <c r="D40" s="11"/>
      <c r="E40" s="52"/>
      <c r="F40" s="51" t="str">
        <v>Ebonee Hutsby</v>
      </c>
      <c r="G40" s="18"/>
      <c r="H40" s="11"/>
      <c r="I40" s="13"/>
    </row>
    <row r="41" spans="1:9">
      <c r="A41" s="11"/>
      <c r="B41" s="11"/>
      <c r="C41" s="11"/>
      <c r="D41" s="11"/>
      <c r="E41" s="52"/>
      <c r="F41" s="51" t="str">
        <v>Kerrie Chowne</v>
      </c>
      <c r="G41" s="18"/>
      <c r="H41" s="11"/>
      <c r="I41" s="13"/>
    </row>
    <row r="42" spans="1:9">
      <c r="A42" s="11"/>
      <c r="B42" s="11"/>
      <c r="C42" s="11"/>
      <c r="D42" s="11"/>
      <c r="E42" s="52" t="s">
        <v>439</v>
      </c>
      <c r="F42" s="51" t="str" cm="1">
        <f t="array" ref="F42:F44">IF(F2:F4&gt;3500,"High","Low")</f>
        <v>High</v>
      </c>
      <c r="G42" s="11"/>
      <c r="H42" s="11"/>
      <c r="I42" s="13"/>
    </row>
    <row r="43" spans="1:9">
      <c r="A43" s="11"/>
      <c r="B43" s="11"/>
      <c r="C43" s="11"/>
      <c r="D43" s="11"/>
      <c r="E43" s="52"/>
      <c r="F43" s="51" t="str">
        <v>Low</v>
      </c>
      <c r="G43" s="11"/>
      <c r="H43" s="11"/>
      <c r="I43" s="13"/>
    </row>
    <row r="44" spans="1:9">
      <c r="A44" s="11"/>
      <c r="B44" s="11"/>
      <c r="C44" s="11"/>
      <c r="D44" s="11"/>
      <c r="E44" s="52"/>
      <c r="F44" s="51" t="str">
        <v>High</v>
      </c>
      <c r="G44" s="11"/>
      <c r="H44" s="11"/>
      <c r="I44" s="13"/>
    </row>
    <row r="45" spans="1:9">
      <c r="A45" s="11"/>
      <c r="B45" s="11"/>
      <c r="C45" s="11"/>
      <c r="D45" s="11"/>
      <c r="E45" s="11"/>
      <c r="F45" s="15"/>
      <c r="G45" s="11"/>
      <c r="H45" s="11"/>
      <c r="I45" s="13"/>
    </row>
    <row r="46" spans="1:9">
      <c r="A46" s="11"/>
      <c r="B46" s="11"/>
      <c r="C46" s="11"/>
      <c r="D46" s="11"/>
      <c r="E46" s="11"/>
      <c r="F46" s="15"/>
      <c r="G46" s="11"/>
      <c r="H46" s="11"/>
      <c r="I46" s="11"/>
    </row>
    <row r="47" spans="1:9">
      <c r="A47" s="11"/>
      <c r="B47" s="11"/>
      <c r="C47" s="11"/>
      <c r="D47" s="11"/>
      <c r="E47" s="11"/>
      <c r="F47" s="15"/>
      <c r="G47" s="11"/>
      <c r="H47" s="11"/>
      <c r="I47" s="11"/>
    </row>
    <row r="48" spans="1:9">
      <c r="A48" s="11"/>
      <c r="B48" s="11"/>
      <c r="C48" s="11"/>
      <c r="D48" s="11"/>
      <c r="E48" s="11"/>
      <c r="F48" s="15"/>
      <c r="G48" s="11"/>
      <c r="H48" s="11"/>
      <c r="I48" s="11"/>
    </row>
  </sheetData>
  <mergeCells count="2">
    <mergeCell ref="E36:E41"/>
    <mergeCell ref="E42:E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DEE0-983A-4F69-95C9-9DD0D4B44CFC}">
  <dimension ref="A3:B9"/>
  <sheetViews>
    <sheetView workbookViewId="0">
      <selection activeCell="R9" sqref="R9"/>
    </sheetView>
  </sheetViews>
  <sheetFormatPr defaultRowHeight="14.5"/>
  <cols>
    <col min="1" max="1" width="12.36328125" bestFit="1" customWidth="1"/>
    <col min="2" max="2" width="11.26953125" bestFit="1" customWidth="1"/>
    <col min="3" max="31" width="4.81640625" bestFit="1" customWidth="1"/>
    <col min="32" max="32" width="10.7265625" bestFit="1" customWidth="1"/>
  </cols>
  <sheetData>
    <row r="3" spans="1:2">
      <c r="A3" s="28" t="s">
        <v>468</v>
      </c>
      <c r="B3" t="s">
        <v>470</v>
      </c>
    </row>
    <row r="4" spans="1:2">
      <c r="A4" s="14">
        <v>1001</v>
      </c>
      <c r="B4">
        <v>27225</v>
      </c>
    </row>
    <row r="5" spans="1:2">
      <c r="A5" s="14">
        <v>1002</v>
      </c>
      <c r="B5">
        <v>16421</v>
      </c>
    </row>
    <row r="6" spans="1:2">
      <c r="A6" s="14">
        <v>1003</v>
      </c>
      <c r="B6">
        <v>13179</v>
      </c>
    </row>
    <row r="7" spans="1:2">
      <c r="A7" s="14">
        <v>1004</v>
      </c>
      <c r="B7">
        <v>23306</v>
      </c>
    </row>
    <row r="8" spans="1:2">
      <c r="A8" s="14">
        <v>1005</v>
      </c>
      <c r="B8">
        <v>9934</v>
      </c>
    </row>
    <row r="9" spans="1:2">
      <c r="A9" s="14" t="s">
        <v>469</v>
      </c>
      <c r="B9">
        <v>90065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C144-DA45-4151-85F1-779149EB3064}">
  <dimension ref="A3:B22"/>
  <sheetViews>
    <sheetView workbookViewId="0">
      <selection activeCell="L10" sqref="L10"/>
    </sheetView>
  </sheetViews>
  <sheetFormatPr defaultRowHeight="14.5"/>
  <cols>
    <col min="1" max="1" width="12.36328125" bestFit="1" customWidth="1"/>
    <col min="2" max="2" width="11.26953125" bestFit="1" customWidth="1"/>
    <col min="3" max="3" width="5.81640625" bestFit="1" customWidth="1"/>
    <col min="4" max="4" width="10.7265625" bestFit="1" customWidth="1"/>
    <col min="5" max="5" width="6.453125" bestFit="1" customWidth="1"/>
    <col min="6" max="6" width="10.7265625" bestFit="1" customWidth="1"/>
  </cols>
  <sheetData>
    <row r="3" spans="1:2">
      <c r="A3" s="28" t="s">
        <v>468</v>
      </c>
      <c r="B3" t="s">
        <v>470</v>
      </c>
    </row>
    <row r="4" spans="1:2">
      <c r="A4" s="14" t="s">
        <v>369</v>
      </c>
      <c r="B4" s="45">
        <v>2931</v>
      </c>
    </row>
    <row r="5" spans="1:2">
      <c r="A5" s="14" t="s">
        <v>407</v>
      </c>
      <c r="B5" s="45">
        <v>3748</v>
      </c>
    </row>
    <row r="6" spans="1:2">
      <c r="A6" s="14" t="s">
        <v>372</v>
      </c>
      <c r="B6" s="45">
        <v>8763</v>
      </c>
    </row>
    <row r="7" spans="1:2">
      <c r="A7" s="14" t="s">
        <v>386</v>
      </c>
      <c r="B7" s="45">
        <v>8595</v>
      </c>
    </row>
    <row r="8" spans="1:2">
      <c r="A8" s="14" t="s">
        <v>396</v>
      </c>
      <c r="B8" s="45">
        <v>5946</v>
      </c>
    </row>
    <row r="9" spans="1:2">
      <c r="A9" s="14" t="s">
        <v>410</v>
      </c>
      <c r="B9" s="45">
        <v>2801</v>
      </c>
    </row>
    <row r="10" spans="1:2">
      <c r="A10" s="14" t="s">
        <v>414</v>
      </c>
      <c r="B10" s="45">
        <v>9037</v>
      </c>
    </row>
    <row r="11" spans="1:2">
      <c r="A11" s="14" t="s">
        <v>381</v>
      </c>
      <c r="B11" s="45">
        <v>2308</v>
      </c>
    </row>
    <row r="12" spans="1:2">
      <c r="A12" s="14" t="s">
        <v>360</v>
      </c>
      <c r="B12" s="45">
        <v>3718</v>
      </c>
    </row>
    <row r="13" spans="1:2">
      <c r="A13" s="14" t="s">
        <v>375</v>
      </c>
      <c r="B13" s="45">
        <v>6651</v>
      </c>
    </row>
    <row r="14" spans="1:2">
      <c r="A14" s="14" t="s">
        <v>427</v>
      </c>
      <c r="B14" s="45">
        <v>2790</v>
      </c>
    </row>
    <row r="15" spans="1:2">
      <c r="A15" s="14" t="s">
        <v>399</v>
      </c>
      <c r="B15" s="45">
        <v>3433</v>
      </c>
    </row>
    <row r="16" spans="1:2">
      <c r="A16" s="14" t="s">
        <v>353</v>
      </c>
      <c r="B16" s="45">
        <v>3559</v>
      </c>
    </row>
    <row r="17" spans="1:2">
      <c r="A17" s="14" t="s">
        <v>357</v>
      </c>
      <c r="B17" s="45">
        <v>8559</v>
      </c>
    </row>
    <row r="18" spans="1:2">
      <c r="A18" s="14" t="s">
        <v>393</v>
      </c>
      <c r="B18" s="45">
        <v>3313</v>
      </c>
    </row>
    <row r="19" spans="1:2">
      <c r="A19" s="14" t="s">
        <v>404</v>
      </c>
      <c r="B19" s="45">
        <v>3091</v>
      </c>
    </row>
    <row r="20" spans="1:2">
      <c r="A20" s="14" t="s">
        <v>366</v>
      </c>
      <c r="B20" s="45">
        <v>6822</v>
      </c>
    </row>
    <row r="21" spans="1:2">
      <c r="A21" s="14" t="s">
        <v>378</v>
      </c>
      <c r="B21" s="45">
        <v>4000</v>
      </c>
    </row>
    <row r="22" spans="1:2">
      <c r="A22" s="14" t="s">
        <v>469</v>
      </c>
      <c r="B22" s="45">
        <v>90065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9179-A14E-4FFC-A3AA-D93CF2709C44}">
  <dimension ref="A1:H31"/>
  <sheetViews>
    <sheetView zoomScale="47" zoomScaleNormal="130" workbookViewId="0">
      <selection activeCell="I32" sqref="I32"/>
    </sheetView>
  </sheetViews>
  <sheetFormatPr defaultRowHeight="14.5"/>
  <cols>
    <col min="1" max="1" width="8.26953125" customWidth="1"/>
    <col min="2" max="2" width="14" customWidth="1"/>
    <col min="3" max="3" width="12.36328125" customWidth="1"/>
    <col min="4" max="4" width="28" bestFit="1" customWidth="1"/>
    <col min="5" max="5" width="12" customWidth="1"/>
    <col min="6" max="6" width="12.81640625" customWidth="1"/>
    <col min="7" max="7" width="6.54296875" customWidth="1"/>
    <col min="8" max="8" width="10.1796875" customWidth="1"/>
  </cols>
  <sheetData>
    <row r="1" spans="1:8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</row>
    <row r="2" spans="1:8">
      <c r="A2">
        <v>1004</v>
      </c>
      <c r="B2" s="12">
        <v>44601</v>
      </c>
      <c r="C2" t="s">
        <v>351</v>
      </c>
      <c r="D2" t="s">
        <v>352</v>
      </c>
      <c r="E2">
        <v>59</v>
      </c>
      <c r="F2" t="s">
        <v>353</v>
      </c>
      <c r="G2" t="s">
        <v>354</v>
      </c>
      <c r="H2">
        <v>3559</v>
      </c>
    </row>
    <row r="3" spans="1:8">
      <c r="A3">
        <v>1004</v>
      </c>
      <c r="B3" s="12">
        <v>44660</v>
      </c>
      <c r="C3" t="s">
        <v>355</v>
      </c>
      <c r="D3" t="s">
        <v>356</v>
      </c>
      <c r="E3">
        <v>65</v>
      </c>
      <c r="F3" t="s">
        <v>357</v>
      </c>
      <c r="G3" t="s">
        <v>354</v>
      </c>
      <c r="H3">
        <v>2979</v>
      </c>
    </row>
    <row r="4" spans="1:8">
      <c r="A4">
        <v>1003</v>
      </c>
      <c r="B4" s="12">
        <v>44629</v>
      </c>
      <c r="C4" t="s">
        <v>358</v>
      </c>
      <c r="D4" t="s">
        <v>359</v>
      </c>
      <c r="E4">
        <v>64</v>
      </c>
      <c r="F4" t="s">
        <v>360</v>
      </c>
      <c r="G4" t="s">
        <v>361</v>
      </c>
      <c r="H4">
        <v>3718</v>
      </c>
    </row>
    <row r="5" spans="1:8">
      <c r="A5">
        <v>1004</v>
      </c>
      <c r="B5" s="12">
        <v>44601</v>
      </c>
      <c r="C5" t="s">
        <v>362</v>
      </c>
      <c r="D5" t="s">
        <v>363</v>
      </c>
      <c r="E5">
        <v>6</v>
      </c>
      <c r="F5" t="s">
        <v>357</v>
      </c>
      <c r="G5" t="s">
        <v>361</v>
      </c>
      <c r="H5">
        <v>3566</v>
      </c>
    </row>
    <row r="6" spans="1:8">
      <c r="A6">
        <v>1004</v>
      </c>
      <c r="B6" s="12">
        <v>44570</v>
      </c>
      <c r="C6" t="s">
        <v>364</v>
      </c>
      <c r="D6" t="s">
        <v>365</v>
      </c>
      <c r="E6">
        <v>30</v>
      </c>
      <c r="F6" t="s">
        <v>366</v>
      </c>
      <c r="G6" t="s">
        <v>354</v>
      </c>
      <c r="H6">
        <v>3620</v>
      </c>
    </row>
    <row r="7" spans="1:8">
      <c r="A7">
        <v>1001</v>
      </c>
      <c r="B7" s="12">
        <v>44570</v>
      </c>
      <c r="C7" t="s">
        <v>367</v>
      </c>
      <c r="D7" t="s">
        <v>368</v>
      </c>
      <c r="E7">
        <v>81</v>
      </c>
      <c r="F7" t="s">
        <v>369</v>
      </c>
      <c r="G7" t="s">
        <v>354</v>
      </c>
      <c r="H7">
        <v>2931</v>
      </c>
    </row>
    <row r="8" spans="1:8">
      <c r="A8">
        <v>1001</v>
      </c>
      <c r="B8" s="12">
        <v>44660</v>
      </c>
      <c r="C8" t="s">
        <v>370</v>
      </c>
      <c r="D8" t="s">
        <v>371</v>
      </c>
      <c r="E8">
        <v>73</v>
      </c>
      <c r="F8" t="s">
        <v>372</v>
      </c>
      <c r="G8" t="s">
        <v>354</v>
      </c>
      <c r="H8">
        <v>2727</v>
      </c>
    </row>
    <row r="9" spans="1:8">
      <c r="A9">
        <v>1002</v>
      </c>
      <c r="B9" s="12">
        <v>44601</v>
      </c>
      <c r="C9" t="s">
        <v>373</v>
      </c>
      <c r="D9" t="s">
        <v>374</v>
      </c>
      <c r="E9">
        <v>72</v>
      </c>
      <c r="F9" t="s">
        <v>375</v>
      </c>
      <c r="G9" t="s">
        <v>354</v>
      </c>
      <c r="H9">
        <v>2086</v>
      </c>
    </row>
    <row r="10" spans="1:8">
      <c r="A10">
        <v>1001</v>
      </c>
      <c r="B10" s="12">
        <v>44601</v>
      </c>
      <c r="C10" t="s">
        <v>376</v>
      </c>
      <c r="D10" t="s">
        <v>377</v>
      </c>
      <c r="E10">
        <v>79</v>
      </c>
      <c r="F10" t="s">
        <v>378</v>
      </c>
      <c r="G10" t="s">
        <v>361</v>
      </c>
      <c r="H10">
        <v>4000</v>
      </c>
    </row>
    <row r="11" spans="1:8">
      <c r="A11">
        <v>1002</v>
      </c>
      <c r="B11" s="12">
        <v>44570</v>
      </c>
      <c r="C11" t="s">
        <v>379</v>
      </c>
      <c r="D11" t="s">
        <v>380</v>
      </c>
      <c r="E11">
        <v>19</v>
      </c>
      <c r="F11" t="s">
        <v>381</v>
      </c>
      <c r="G11" t="s">
        <v>361</v>
      </c>
      <c r="H11">
        <v>2308</v>
      </c>
    </row>
    <row r="12" spans="1:8">
      <c r="A12">
        <v>1002</v>
      </c>
      <c r="B12" s="12">
        <v>44660</v>
      </c>
      <c r="C12" t="s">
        <v>382</v>
      </c>
      <c r="D12" t="s">
        <v>383</v>
      </c>
      <c r="E12">
        <v>8</v>
      </c>
      <c r="F12" t="s">
        <v>372</v>
      </c>
      <c r="G12" t="s">
        <v>354</v>
      </c>
      <c r="H12">
        <v>3428</v>
      </c>
    </row>
    <row r="13" spans="1:8">
      <c r="A13">
        <v>1004</v>
      </c>
      <c r="B13" s="12">
        <v>44629</v>
      </c>
      <c r="C13" t="s">
        <v>384</v>
      </c>
      <c r="D13" t="s">
        <v>385</v>
      </c>
      <c r="E13">
        <v>25</v>
      </c>
      <c r="F13" t="s">
        <v>386</v>
      </c>
      <c r="G13" t="s">
        <v>361</v>
      </c>
      <c r="H13">
        <v>3289</v>
      </c>
    </row>
    <row r="14" spans="1:8">
      <c r="A14">
        <v>1004</v>
      </c>
      <c r="B14" s="12">
        <v>44629</v>
      </c>
      <c r="C14" t="s">
        <v>387</v>
      </c>
      <c r="D14" t="s">
        <v>388</v>
      </c>
      <c r="E14">
        <v>50</v>
      </c>
      <c r="F14" t="s">
        <v>366</v>
      </c>
      <c r="G14" t="s">
        <v>354</v>
      </c>
      <c r="H14">
        <v>3202</v>
      </c>
    </row>
    <row r="15" spans="1:8">
      <c r="A15">
        <v>1003</v>
      </c>
      <c r="B15" s="12">
        <v>44601</v>
      </c>
      <c r="C15" t="s">
        <v>389</v>
      </c>
      <c r="D15" t="s">
        <v>390</v>
      </c>
      <c r="E15">
        <v>8</v>
      </c>
      <c r="F15" t="s">
        <v>375</v>
      </c>
      <c r="G15" t="s">
        <v>361</v>
      </c>
      <c r="H15">
        <v>2069</v>
      </c>
    </row>
    <row r="16" spans="1:8">
      <c r="A16">
        <v>1001</v>
      </c>
      <c r="B16" s="12">
        <v>44570</v>
      </c>
      <c r="C16" t="s">
        <v>391</v>
      </c>
      <c r="D16" t="s">
        <v>392</v>
      </c>
      <c r="E16">
        <v>86</v>
      </c>
      <c r="F16" t="s">
        <v>393</v>
      </c>
      <c r="G16" t="s">
        <v>354</v>
      </c>
      <c r="H16">
        <v>3313</v>
      </c>
    </row>
    <row r="17" spans="1:8">
      <c r="A17">
        <v>1001</v>
      </c>
      <c r="B17" s="12">
        <v>44660</v>
      </c>
      <c r="C17" t="s">
        <v>394</v>
      </c>
      <c r="D17" t="s">
        <v>395</v>
      </c>
      <c r="E17">
        <v>21</v>
      </c>
      <c r="F17" t="s">
        <v>396</v>
      </c>
      <c r="G17" t="s">
        <v>354</v>
      </c>
      <c r="H17">
        <v>3176</v>
      </c>
    </row>
    <row r="18" spans="1:8">
      <c r="A18">
        <v>1001</v>
      </c>
      <c r="B18" s="12">
        <v>44660</v>
      </c>
      <c r="C18" t="s">
        <v>397</v>
      </c>
      <c r="D18" t="s">
        <v>398</v>
      </c>
      <c r="E18">
        <v>26</v>
      </c>
      <c r="F18" t="s">
        <v>399</v>
      </c>
      <c r="G18" t="s">
        <v>361</v>
      </c>
      <c r="H18">
        <v>3433</v>
      </c>
    </row>
    <row r="19" spans="1:8">
      <c r="A19">
        <v>1001</v>
      </c>
      <c r="B19" s="12">
        <v>44570</v>
      </c>
      <c r="C19" t="s">
        <v>400</v>
      </c>
      <c r="D19" t="s">
        <v>401</v>
      </c>
      <c r="E19">
        <v>42</v>
      </c>
      <c r="F19" t="s">
        <v>375</v>
      </c>
      <c r="G19" t="s">
        <v>361</v>
      </c>
      <c r="H19">
        <v>2496</v>
      </c>
    </row>
    <row r="20" spans="1:8">
      <c r="A20">
        <v>1004</v>
      </c>
      <c r="B20" s="12">
        <v>44570</v>
      </c>
      <c r="C20" t="s">
        <v>402</v>
      </c>
      <c r="D20" t="s">
        <v>403</v>
      </c>
      <c r="E20">
        <v>43</v>
      </c>
      <c r="F20" t="s">
        <v>404</v>
      </c>
      <c r="G20" t="s">
        <v>354</v>
      </c>
      <c r="H20">
        <v>3091</v>
      </c>
    </row>
    <row r="21" spans="1:8">
      <c r="A21">
        <v>1005</v>
      </c>
      <c r="B21" s="12">
        <v>44660</v>
      </c>
      <c r="C21" t="s">
        <v>405</v>
      </c>
      <c r="D21" t="s">
        <v>406</v>
      </c>
      <c r="E21">
        <v>10</v>
      </c>
      <c r="F21" t="s">
        <v>407</v>
      </c>
      <c r="G21" t="s">
        <v>354</v>
      </c>
      <c r="H21">
        <v>3748</v>
      </c>
    </row>
    <row r="22" spans="1:8">
      <c r="A22">
        <v>1002</v>
      </c>
      <c r="B22" s="12">
        <v>44601</v>
      </c>
      <c r="C22" t="s">
        <v>408</v>
      </c>
      <c r="D22" t="s">
        <v>409</v>
      </c>
      <c r="E22">
        <v>87</v>
      </c>
      <c r="F22" t="s">
        <v>410</v>
      </c>
      <c r="G22" t="s">
        <v>354</v>
      </c>
      <c r="H22">
        <v>2801</v>
      </c>
    </row>
    <row r="23" spans="1:8">
      <c r="A23">
        <v>1002</v>
      </c>
      <c r="B23" s="12">
        <v>44629</v>
      </c>
      <c r="C23" t="s">
        <v>411</v>
      </c>
      <c r="D23" t="s">
        <v>383</v>
      </c>
      <c r="E23">
        <v>69</v>
      </c>
      <c r="F23" t="s">
        <v>386</v>
      </c>
      <c r="G23" t="s">
        <v>354</v>
      </c>
      <c r="H23">
        <v>2947</v>
      </c>
    </row>
    <row r="24" spans="1:8">
      <c r="A24">
        <v>1002</v>
      </c>
      <c r="B24" s="12">
        <v>44601</v>
      </c>
      <c r="C24" t="s">
        <v>412</v>
      </c>
      <c r="D24" t="s">
        <v>413</v>
      </c>
      <c r="E24">
        <v>46</v>
      </c>
      <c r="F24" t="s">
        <v>414</v>
      </c>
      <c r="G24" t="s">
        <v>354</v>
      </c>
      <c r="H24">
        <v>2851</v>
      </c>
    </row>
    <row r="25" spans="1:8">
      <c r="A25">
        <v>1003</v>
      </c>
      <c r="B25" s="12">
        <v>44660</v>
      </c>
      <c r="C25" t="s">
        <v>415</v>
      </c>
      <c r="D25" t="s">
        <v>416</v>
      </c>
      <c r="E25">
        <v>75</v>
      </c>
      <c r="F25" t="s">
        <v>357</v>
      </c>
      <c r="G25" t="s">
        <v>361</v>
      </c>
      <c r="H25">
        <v>2014</v>
      </c>
    </row>
    <row r="26" spans="1:8">
      <c r="A26">
        <v>1001</v>
      </c>
      <c r="B26" s="12">
        <v>44601</v>
      </c>
      <c r="C26" t="s">
        <v>417</v>
      </c>
      <c r="D26" t="s">
        <v>418</v>
      </c>
      <c r="E26">
        <v>5</v>
      </c>
      <c r="F26" t="s">
        <v>386</v>
      </c>
      <c r="G26" t="s">
        <v>361</v>
      </c>
      <c r="H26">
        <v>2359</v>
      </c>
    </row>
    <row r="27" spans="1:8">
      <c r="A27">
        <v>1003</v>
      </c>
      <c r="B27" s="12">
        <v>44601</v>
      </c>
      <c r="C27" t="s">
        <v>419</v>
      </c>
      <c r="D27" t="s">
        <v>420</v>
      </c>
      <c r="E27">
        <v>95</v>
      </c>
      <c r="F27" t="s">
        <v>372</v>
      </c>
      <c r="G27" t="s">
        <v>361</v>
      </c>
      <c r="H27">
        <v>2608</v>
      </c>
    </row>
    <row r="28" spans="1:8">
      <c r="A28">
        <v>1003</v>
      </c>
      <c r="B28" s="12">
        <v>44660</v>
      </c>
      <c r="C28" t="s">
        <v>421</v>
      </c>
      <c r="D28" t="s">
        <v>422</v>
      </c>
      <c r="E28">
        <v>30</v>
      </c>
      <c r="F28" t="s">
        <v>396</v>
      </c>
      <c r="G28" t="s">
        <v>361</v>
      </c>
      <c r="H28">
        <v>2770</v>
      </c>
    </row>
    <row r="29" spans="1:8">
      <c r="A29">
        <v>1005</v>
      </c>
      <c r="B29" s="12">
        <v>44660</v>
      </c>
      <c r="C29" t="s">
        <v>423</v>
      </c>
      <c r="D29" t="s">
        <v>424</v>
      </c>
      <c r="E29">
        <v>8</v>
      </c>
      <c r="F29" t="s">
        <v>414</v>
      </c>
      <c r="G29" t="s">
        <v>354</v>
      </c>
      <c r="H29">
        <v>2229</v>
      </c>
    </row>
    <row r="30" spans="1:8">
      <c r="A30">
        <v>1001</v>
      </c>
      <c r="B30" s="12">
        <v>44629</v>
      </c>
      <c r="C30" t="s">
        <v>425</v>
      </c>
      <c r="D30" t="s">
        <v>426</v>
      </c>
      <c r="E30">
        <v>53</v>
      </c>
      <c r="F30" t="s">
        <v>427</v>
      </c>
      <c r="G30" t="s">
        <v>354</v>
      </c>
      <c r="H30">
        <v>2790</v>
      </c>
    </row>
    <row r="31" spans="1:8">
      <c r="A31">
        <v>1005</v>
      </c>
      <c r="B31" s="12">
        <v>44660</v>
      </c>
      <c r="C31" t="s">
        <v>428</v>
      </c>
      <c r="D31" t="s">
        <v>429</v>
      </c>
      <c r="E31">
        <v>83</v>
      </c>
      <c r="F31" t="s">
        <v>414</v>
      </c>
      <c r="G31" t="s">
        <v>361</v>
      </c>
      <c r="H31">
        <v>3957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EB57C8-106F-41E4-AE47-35CF47BA44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Sample Data</vt:lpstr>
      <vt:lpstr>Sheet5</vt:lpstr>
      <vt:lpstr>Sheet3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Bhagirath Koli</dc:creator>
  <cp:lastModifiedBy>Aditya Arya</cp:lastModifiedBy>
  <dcterms:created xsi:type="dcterms:W3CDTF">2025-01-17T09:31:55Z</dcterms:created>
  <dcterms:modified xsi:type="dcterms:W3CDTF">2026-02-17T20:48:17Z</dcterms:modified>
</cp:coreProperties>
</file>