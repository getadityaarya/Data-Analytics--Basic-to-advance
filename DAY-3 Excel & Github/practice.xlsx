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a Arya\Downloads\"/>
    </mc:Choice>
  </mc:AlternateContent>
  <xr:revisionPtr revIDLastSave="0" documentId="13_ncr:1_{3E491788-AFE5-4B9B-A09C-4DAAF540251D}" xr6:coauthVersionLast="47" xr6:coauthVersionMax="47" xr10:uidLastSave="{00000000-0000-0000-0000-000000000000}"/>
  <bookViews>
    <workbookView xWindow="-110" yWindow="-110" windowWidth="19420" windowHeight="10300" xr2:uid="{A93C571F-E352-F343-8DCF-5FB29CC12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0" i="1" l="1"/>
  <c r="M82" i="1"/>
  <c r="M83" i="1"/>
  <c r="M84" i="1"/>
  <c r="M85" i="1"/>
  <c r="M86" i="1"/>
  <c r="M81" i="1"/>
  <c r="M79" i="1"/>
  <c r="M78" i="1"/>
  <c r="L79" i="1"/>
  <c r="L80" i="1"/>
  <c r="L81" i="1"/>
  <c r="L82" i="1"/>
  <c r="L83" i="1"/>
  <c r="L84" i="1"/>
  <c r="L85" i="1"/>
  <c r="L86" i="1"/>
  <c r="L78" i="1"/>
  <c r="D89" i="1"/>
  <c r="D88" i="1"/>
  <c r="C88" i="1"/>
  <c r="C89" i="1"/>
  <c r="C90" i="1"/>
  <c r="D92" i="1"/>
  <c r="C91" i="1" a="1"/>
  <c r="C91" i="1" s="1"/>
  <c r="C87" i="1"/>
  <c r="C86" i="1"/>
  <c r="C85" i="1"/>
  <c r="C84" i="1"/>
  <c r="C83" i="1"/>
  <c r="C82" i="1"/>
  <c r="C81" i="1"/>
  <c r="C80" i="1"/>
  <c r="E79" i="1"/>
  <c r="D79" i="1"/>
  <c r="C75" i="1"/>
  <c r="B75" i="1"/>
  <c r="C74" i="1"/>
  <c r="B74" i="1"/>
  <c r="D74" i="1" s="1"/>
  <c r="C73" i="1"/>
  <c r="B73" i="1"/>
  <c r="D73" i="1" s="1"/>
  <c r="B72" i="1"/>
  <c r="B71" i="1"/>
  <c r="B70" i="1"/>
  <c r="B69" i="1"/>
  <c r="H67" i="1"/>
  <c r="H66" i="1"/>
  <c r="H65" i="1"/>
  <c r="B63" i="1"/>
  <c r="C62" i="1"/>
  <c r="C61" i="1"/>
  <c r="C60" i="1"/>
  <c r="H59" i="1"/>
  <c r="H58" i="1"/>
  <c r="H57" i="1"/>
  <c r="H56" i="1"/>
  <c r="D75" i="1" l="1"/>
  <c r="L4" i="1"/>
  <c r="D14" i="1"/>
  <c r="C14" i="1"/>
  <c r="J39" i="1"/>
  <c r="K36" i="1"/>
  <c r="K28" i="1"/>
  <c r="K27" i="1"/>
  <c r="K26" i="1"/>
  <c r="K22" i="1"/>
  <c r="K19" i="1"/>
  <c r="K18" i="1"/>
  <c r="L36" i="1" l="1"/>
  <c r="K24" i="1"/>
  <c r="K23" i="1"/>
  <c r="K25" i="1" s="1"/>
  <c r="K20" i="1"/>
  <c r="K21" i="1" s="1"/>
  <c r="I3" i="1"/>
  <c r="I4" i="1"/>
  <c r="I5" i="1"/>
  <c r="I6" i="1"/>
  <c r="I7" i="1"/>
  <c r="I8" i="1"/>
  <c r="I9" i="1"/>
  <c r="I10" i="1"/>
  <c r="I11" i="1"/>
  <c r="I12" i="1"/>
  <c r="I13" i="1"/>
  <c r="I2" i="1"/>
  <c r="G14" i="1"/>
  <c r="F14" i="1"/>
  <c r="E14" i="1"/>
  <c r="H3" i="1"/>
  <c r="H2" i="1"/>
  <c r="H4" i="1"/>
  <c r="H5" i="1"/>
  <c r="H6" i="1"/>
  <c r="H7" i="1"/>
  <c r="H8" i="1"/>
  <c r="H9" i="1"/>
  <c r="K9" i="1" s="1"/>
  <c r="H10" i="1"/>
  <c r="H11" i="1"/>
  <c r="H12" i="1"/>
  <c r="H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<sst xmlns="http://schemas.openxmlformats.org/spreadsheetml/2006/main" count="132" uniqueCount="97">
  <si>
    <t>Roll No</t>
  </si>
  <si>
    <t>Hindi</t>
  </si>
  <si>
    <t>english</t>
  </si>
  <si>
    <t>Sci</t>
  </si>
  <si>
    <t>Maths</t>
  </si>
  <si>
    <t>Punjabi</t>
  </si>
  <si>
    <t>Total</t>
  </si>
  <si>
    <t>Average</t>
  </si>
  <si>
    <t>sum of all the number</t>
  </si>
  <si>
    <t>sum of even rows</t>
  </si>
  <si>
    <t>sum of odd rows</t>
  </si>
  <si>
    <t>diff between sum of even and odd rows</t>
  </si>
  <si>
    <t>avg of all the number</t>
  </si>
  <si>
    <t>avg of even rows</t>
  </si>
  <si>
    <t>avg of odd rows</t>
  </si>
  <si>
    <t>diff between avg of even and odd rows</t>
  </si>
  <si>
    <t>add 10 to the averge of all the numbers</t>
  </si>
  <si>
    <t>minimum number in the table</t>
  </si>
  <si>
    <t>maximum number in the table</t>
  </si>
  <si>
    <t xml:space="preserve">      Aditya    Arya    From      PUne </t>
  </si>
  <si>
    <t>Length Funtion</t>
  </si>
  <si>
    <t>Trim + Proper</t>
  </si>
  <si>
    <t>AVG</t>
  </si>
  <si>
    <t>SUM</t>
  </si>
  <si>
    <t>Rounding a number</t>
  </si>
  <si>
    <t>Interface Walkthrough</t>
  </si>
  <si>
    <t>Numeric Replication</t>
  </si>
  <si>
    <t>Text Replication</t>
  </si>
  <si>
    <t>A</t>
  </si>
  <si>
    <t>B</t>
  </si>
  <si>
    <t xml:space="preserve">Fade the </t>
  </si>
  <si>
    <t>Black</t>
  </si>
  <si>
    <t>Text Formatting</t>
  </si>
  <si>
    <t>Merging</t>
  </si>
  <si>
    <t>Text Merged</t>
  </si>
  <si>
    <t>Row</t>
  </si>
  <si>
    <t>Col</t>
  </si>
  <si>
    <t>Cell Naming</t>
  </si>
  <si>
    <t>B3</t>
  </si>
  <si>
    <t>Types of Data in Excel</t>
  </si>
  <si>
    <t>text</t>
  </si>
  <si>
    <t>Formulas</t>
  </si>
  <si>
    <t>Math and Trigonometry Functions</t>
  </si>
  <si>
    <t>AVERAGE</t>
  </si>
  <si>
    <t>MAX</t>
  </si>
  <si>
    <t>MIN</t>
  </si>
  <si>
    <t>ROUND</t>
  </si>
  <si>
    <t>ROUNDUP</t>
  </si>
  <si>
    <t>ROUNDDOWN</t>
  </si>
  <si>
    <t>RAND</t>
  </si>
  <si>
    <t>Statistical Functions</t>
  </si>
  <si>
    <t>COUNT</t>
  </si>
  <si>
    <t>COUNTA</t>
  </si>
  <si>
    <t>COUNTIF</t>
  </si>
  <si>
    <t>Date and Time Functions</t>
  </si>
  <si>
    <t>NOW</t>
  </si>
  <si>
    <t>TODAY</t>
  </si>
  <si>
    <t>DATE</t>
  </si>
  <si>
    <t>TIME</t>
  </si>
  <si>
    <t>DATEDIF | Days</t>
  </si>
  <si>
    <t>DATEDIF | Month</t>
  </si>
  <si>
    <t>DATEDIF | Year</t>
  </si>
  <si>
    <t>Text</t>
  </si>
  <si>
    <t>Function</t>
  </si>
  <si>
    <t>Example</t>
  </si>
  <si>
    <t>CONCATENATE</t>
  </si>
  <si>
    <t>Aditya Arya</t>
  </si>
  <si>
    <t>Data Science</t>
  </si>
  <si>
    <t>LEFT</t>
  </si>
  <si>
    <t>RIGHT</t>
  </si>
  <si>
    <t>LEN</t>
  </si>
  <si>
    <t>MID</t>
  </si>
  <si>
    <t>LOWER</t>
  </si>
  <si>
    <t>UPPER</t>
  </si>
  <si>
    <t>PROPER</t>
  </si>
  <si>
    <t>TRIM</t>
  </si>
  <si>
    <t>FIND</t>
  </si>
  <si>
    <t>SEARCH</t>
  </si>
  <si>
    <t>REPLACE</t>
  </si>
  <si>
    <t>TEXTSPLIT</t>
  </si>
  <si>
    <t>TEXTJOIN</t>
  </si>
  <si>
    <t>DS</t>
  </si>
  <si>
    <t>Name</t>
  </si>
  <si>
    <t>Age</t>
  </si>
  <si>
    <t>Eligibility</t>
  </si>
  <si>
    <t>Case sensitive</t>
  </si>
  <si>
    <t>Not Case sensitive</t>
  </si>
  <si>
    <t>Ram</t>
  </si>
  <si>
    <t>Rahul</t>
  </si>
  <si>
    <t>Anuj</t>
  </si>
  <si>
    <t>Amit</t>
  </si>
  <si>
    <t>Ashan</t>
  </si>
  <si>
    <t>Rohan</t>
  </si>
  <si>
    <t>Kushal</t>
  </si>
  <si>
    <t>Shushant</t>
  </si>
  <si>
    <t>Samanth</t>
  </si>
  <si>
    <t>Condition casing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</si>
</sst>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2"/>
      <color rgb="FFFF0000"/>
      <name val="Apple Braille"/>
    </font>
    <font>
      <sz val="12"/>
      <color theme="3" tint="-0.249977111117893"/>
      <name val="Aptos Narrow"/>
      <family val="2"/>
      <scheme val="minor"/>
    </font>
    <font>
      <sz val="14"/>
      <color theme="8" tint="-0.249977111117893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4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3" borderId="0" xfId="0" applyFill="1" applyAlignment="1">
      <alignment horizontal="right"/>
    </xf>
    <xf numFmtId="0" fontId="0" fillId="3" borderId="0" xfId="0" applyFill="1"/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7" xfId="0" applyBorder="1"/>
    <xf numFmtId="0" fontId="0" fillId="0" borderId="0" xfId="0" quotePrefix="1"/>
    <xf numFmtId="14" fontId="0" fillId="0" borderId="0" xfId="0" applyNumberFormat="1"/>
    <xf numFmtId="0" fontId="6" fillId="6" borderId="7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22" fontId="0" fillId="0" borderId="0" xfId="0" applyNumberFormat="1"/>
    <xf numFmtId="18" fontId="0" fillId="0" borderId="0" xfId="0" applyNumberFormat="1"/>
    <xf numFmtId="0" fontId="7" fillId="8" borderId="2" xfId="0" applyFont="1" applyFill="1" applyBorder="1" applyAlignment="1">
      <alignment horizontal="center"/>
    </xf>
    <xf numFmtId="0" fontId="8" fillId="3" borderId="1" xfId="0" applyFont="1" applyFill="1" applyBorder="1"/>
    <xf numFmtId="0" fontId="9" fillId="7" borderId="1" xfId="0" applyFont="1" applyFill="1" applyBorder="1" applyAlignment="1">
      <alignment horizontal="center"/>
    </xf>
    <xf numFmtId="0" fontId="10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F11A-0C13-8D44-B12F-8047985CBEF3}">
  <dimension ref="A1:M92"/>
  <sheetViews>
    <sheetView tabSelected="1" topLeftCell="C1" zoomScale="69" zoomScaleNormal="399" workbookViewId="0">
      <selection activeCell="L74" sqref="L74"/>
    </sheetView>
  </sheetViews>
  <sheetFormatPr defaultColWidth="10.6640625" defaultRowHeight="16"/>
  <cols>
    <col min="1" max="1" width="22" customWidth="1"/>
    <col min="2" max="2" width="17.1640625" customWidth="1"/>
    <col min="3" max="3" width="10.9140625" customWidth="1"/>
    <col min="4" max="4" width="12.6640625" customWidth="1"/>
    <col min="5" max="5" width="17" customWidth="1"/>
    <col min="6" max="6" width="8.33203125" customWidth="1"/>
    <col min="7" max="7" width="8.5" customWidth="1"/>
    <col min="9" max="9" width="9.5" customWidth="1"/>
    <col min="10" max="10" width="32.5" customWidth="1"/>
    <col min="11" max="11" width="21.6640625" customWidth="1"/>
    <col min="12" max="12" width="26.4140625" customWidth="1"/>
    <col min="13" max="13" width="18.4140625" customWidth="1"/>
  </cols>
  <sheetData>
    <row r="1" spans="2:1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2:12">
      <c r="B2" s="8">
        <v>1</v>
      </c>
      <c r="C2" s="8">
        <v>65</v>
      </c>
      <c r="D2" s="8">
        <v>56</v>
      </c>
      <c r="E2" s="8">
        <v>65</v>
      </c>
      <c r="F2" s="8">
        <v>54</v>
      </c>
      <c r="G2" s="8">
        <v>65</v>
      </c>
      <c r="H2" s="8">
        <f>SUM(C2,D2,E2,F2,G2)</f>
        <v>305</v>
      </c>
      <c r="I2" s="8">
        <f>AVERAGE(C2:G2)</f>
        <v>61</v>
      </c>
    </row>
    <row r="3" spans="2:12">
      <c r="B3" s="8">
        <v>2</v>
      </c>
      <c r="C3" s="8">
        <v>66</v>
      </c>
      <c r="D3" s="8">
        <v>66</v>
      </c>
      <c r="E3" s="8">
        <v>66</v>
      </c>
      <c r="F3" s="8">
        <v>66</v>
      </c>
      <c r="G3" s="8">
        <v>66</v>
      </c>
      <c r="H3" s="8">
        <f>SUM(C3,D3,E3,F3,G3)</f>
        <v>330</v>
      </c>
      <c r="I3" s="8">
        <f t="shared" ref="I3:I13" si="0">AVERAGE(C3:G3)</f>
        <v>66</v>
      </c>
    </row>
    <row r="4" spans="2:12">
      <c r="B4" s="8">
        <v>3</v>
      </c>
      <c r="C4" s="8">
        <v>67</v>
      </c>
      <c r="D4" s="8">
        <v>67</v>
      </c>
      <c r="E4" s="8">
        <v>67</v>
      </c>
      <c r="F4" s="8">
        <v>67</v>
      </c>
      <c r="G4" s="8">
        <v>67</v>
      </c>
      <c r="H4" s="8">
        <f t="shared" ref="H4:H13" si="1">SUM(C4,D4,E4,F4,G4)</f>
        <v>335</v>
      </c>
      <c r="I4" s="8">
        <f t="shared" si="0"/>
        <v>67</v>
      </c>
      <c r="J4" s="13" t="s">
        <v>24</v>
      </c>
      <c r="K4" s="14">
        <v>3.1454</v>
      </c>
      <c r="L4" s="14">
        <f>ROUND(K4,2)</f>
        <v>3.15</v>
      </c>
    </row>
    <row r="5" spans="2:12">
      <c r="B5" s="8">
        <v>4</v>
      </c>
      <c r="C5" s="8">
        <v>68</v>
      </c>
      <c r="D5" s="8">
        <v>68</v>
      </c>
      <c r="E5" s="8">
        <v>68</v>
      </c>
      <c r="F5" s="8">
        <v>68</v>
      </c>
      <c r="G5" s="8">
        <v>68</v>
      </c>
      <c r="H5" s="8">
        <f t="shared" si="1"/>
        <v>340</v>
      </c>
      <c r="I5" s="8">
        <f t="shared" si="0"/>
        <v>68</v>
      </c>
    </row>
    <row r="6" spans="2:12">
      <c r="B6" s="8">
        <v>5</v>
      </c>
      <c r="C6" s="8">
        <v>69</v>
      </c>
      <c r="D6" s="8">
        <v>69</v>
      </c>
      <c r="E6" s="8">
        <v>69</v>
      </c>
      <c r="F6" s="8">
        <v>69</v>
      </c>
      <c r="G6" s="8">
        <v>69</v>
      </c>
      <c r="H6" s="8">
        <f t="shared" si="1"/>
        <v>345</v>
      </c>
      <c r="I6" s="8">
        <f t="shared" si="0"/>
        <v>69</v>
      </c>
    </row>
    <row r="7" spans="2:12">
      <c r="B7" s="8">
        <v>6</v>
      </c>
      <c r="C7" s="8">
        <v>70</v>
      </c>
      <c r="D7" s="8">
        <v>70</v>
      </c>
      <c r="E7" s="8">
        <v>70</v>
      </c>
      <c r="F7" s="8">
        <v>70</v>
      </c>
      <c r="G7" s="8">
        <v>70</v>
      </c>
      <c r="H7" s="8">
        <f t="shared" si="1"/>
        <v>350</v>
      </c>
      <c r="I7" s="8">
        <f t="shared" si="0"/>
        <v>70</v>
      </c>
    </row>
    <row r="8" spans="2:12">
      <c r="B8" s="8">
        <v>7</v>
      </c>
      <c r="C8" s="8">
        <v>71</v>
      </c>
      <c r="D8" s="8">
        <v>71</v>
      </c>
      <c r="E8" s="8">
        <v>71</v>
      </c>
      <c r="F8" s="8">
        <v>71</v>
      </c>
      <c r="G8" s="8">
        <v>71</v>
      </c>
      <c r="H8" s="8">
        <f t="shared" si="1"/>
        <v>355</v>
      </c>
      <c r="I8" s="8">
        <f t="shared" si="0"/>
        <v>71</v>
      </c>
    </row>
    <row r="9" spans="2:12">
      <c r="B9" s="8">
        <v>8</v>
      </c>
      <c r="C9" s="8">
        <v>72</v>
      </c>
      <c r="D9" s="8">
        <v>72</v>
      </c>
      <c r="E9" s="8">
        <v>72</v>
      </c>
      <c r="F9" s="8">
        <v>72</v>
      </c>
      <c r="G9" s="8">
        <v>72</v>
      </c>
      <c r="H9" s="8">
        <f t="shared" si="1"/>
        <v>360</v>
      </c>
      <c r="I9" s="8">
        <f t="shared" si="0"/>
        <v>72</v>
      </c>
      <c r="J9" s="11" t="s">
        <v>23</v>
      </c>
      <c r="K9" s="12">
        <f>SUM(B6:G12,1319,1,H9, B9:G9)</f>
        <v>4602</v>
      </c>
    </row>
    <row r="10" spans="2:12">
      <c r="B10" s="8">
        <v>9</v>
      </c>
      <c r="C10" s="8">
        <v>73</v>
      </c>
      <c r="D10" s="8">
        <v>74</v>
      </c>
      <c r="E10" s="8">
        <v>73</v>
      </c>
      <c r="F10" s="8">
        <v>73</v>
      </c>
      <c r="G10" s="8">
        <v>73</v>
      </c>
      <c r="H10" s="8">
        <f t="shared" si="1"/>
        <v>366</v>
      </c>
      <c r="I10" s="8">
        <f t="shared" si="0"/>
        <v>73.2</v>
      </c>
    </row>
    <row r="11" spans="2:12">
      <c r="B11" s="8">
        <v>10</v>
      </c>
      <c r="C11" s="8">
        <v>51</v>
      </c>
      <c r="D11" s="8">
        <v>74</v>
      </c>
      <c r="E11" s="8">
        <v>74</v>
      </c>
      <c r="F11" s="8">
        <v>74</v>
      </c>
      <c r="G11" s="8">
        <v>74</v>
      </c>
      <c r="H11" s="8">
        <f t="shared" si="1"/>
        <v>347</v>
      </c>
      <c r="I11" s="8">
        <f t="shared" si="0"/>
        <v>69.400000000000006</v>
      </c>
    </row>
    <row r="12" spans="2:12">
      <c r="B12" s="8">
        <v>11</v>
      </c>
      <c r="C12" s="8">
        <v>75</v>
      </c>
      <c r="D12" s="8">
        <v>75</v>
      </c>
      <c r="E12" s="8">
        <v>75</v>
      </c>
      <c r="F12" s="8">
        <v>75</v>
      </c>
      <c r="G12" s="8">
        <v>75</v>
      </c>
      <c r="H12" s="8">
        <f t="shared" si="1"/>
        <v>375</v>
      </c>
      <c r="I12" s="8">
        <f t="shared" si="0"/>
        <v>75</v>
      </c>
    </row>
    <row r="13" spans="2:12">
      <c r="B13" s="8">
        <v>12</v>
      </c>
      <c r="C13" s="8">
        <v>76</v>
      </c>
      <c r="D13" s="8">
        <v>76</v>
      </c>
      <c r="E13" s="8">
        <v>76</v>
      </c>
      <c r="F13" s="8">
        <v>76</v>
      </c>
      <c r="G13" s="8">
        <v>76</v>
      </c>
      <c r="H13" s="8">
        <f t="shared" si="1"/>
        <v>380</v>
      </c>
      <c r="I13" s="8">
        <f t="shared" si="0"/>
        <v>76</v>
      </c>
    </row>
    <row r="14" spans="2:12">
      <c r="B14" s="10" t="s">
        <v>22</v>
      </c>
      <c r="C14" s="9">
        <f>AVERAGE(C2:C13)</f>
        <v>68.583333333333329</v>
      </c>
      <c r="D14" s="9">
        <f>AVERAGE(D2:D13)</f>
        <v>69.833333333333329</v>
      </c>
      <c r="E14" s="9">
        <f>AVERAGE(E2:E13)</f>
        <v>70.5</v>
      </c>
      <c r="F14" s="9">
        <f>AVERAGE(F2:F13)</f>
        <v>69.583333333333329</v>
      </c>
      <c r="G14" s="9">
        <f>AVERAGE(G2:G13)</f>
        <v>70.5</v>
      </c>
      <c r="H14" s="8"/>
      <c r="I14" s="8"/>
    </row>
    <row r="18" spans="4:11">
      <c r="D18" s="1">
        <v>2</v>
      </c>
      <c r="E18" s="1">
        <v>3</v>
      </c>
      <c r="F18" s="1">
        <v>4</v>
      </c>
      <c r="G18" s="1">
        <v>5</v>
      </c>
      <c r="H18" s="1">
        <v>6</v>
      </c>
      <c r="J18" s="1" t="s">
        <v>8</v>
      </c>
      <c r="K18" s="1">
        <f>SUM(D18:H25)</f>
        <v>300</v>
      </c>
    </row>
    <row r="19" spans="4:11">
      <c r="D19" s="1">
        <v>3</v>
      </c>
      <c r="E19" s="1">
        <v>4</v>
      </c>
      <c r="F19" s="1">
        <v>5</v>
      </c>
      <c r="G19" s="1">
        <v>6</v>
      </c>
      <c r="H19" s="1">
        <v>7</v>
      </c>
      <c r="J19" s="1" t="s">
        <v>9</v>
      </c>
      <c r="K19" s="1">
        <f>SUM(D18:H18,D20:H20,D22:H22,D24:H24)</f>
        <v>140</v>
      </c>
    </row>
    <row r="20" spans="4:11">
      <c r="D20" s="1">
        <v>4</v>
      </c>
      <c r="E20" s="1">
        <v>5</v>
      </c>
      <c r="F20" s="1">
        <v>6</v>
      </c>
      <c r="G20" s="1">
        <v>7</v>
      </c>
      <c r="H20" s="1">
        <v>8</v>
      </c>
      <c r="J20" s="1" t="s">
        <v>10</v>
      </c>
      <c r="K20" s="1">
        <f>SUM(D19:H19,D21:H21,D23:H23,D25:H25)</f>
        <v>160</v>
      </c>
    </row>
    <row r="21" spans="4:11">
      <c r="D21" s="1">
        <v>5</v>
      </c>
      <c r="E21" s="1">
        <v>6</v>
      </c>
      <c r="F21" s="1">
        <v>7</v>
      </c>
      <c r="G21" s="1">
        <v>8</v>
      </c>
      <c r="H21" s="1">
        <v>9</v>
      </c>
      <c r="J21" s="1" t="s">
        <v>11</v>
      </c>
      <c r="K21" s="1">
        <f>K20-K19</f>
        <v>20</v>
      </c>
    </row>
    <row r="22" spans="4:11">
      <c r="D22" s="1">
        <v>6</v>
      </c>
      <c r="E22" s="1">
        <v>7</v>
      </c>
      <c r="F22" s="1">
        <v>8</v>
      </c>
      <c r="G22" s="1">
        <v>9</v>
      </c>
      <c r="H22" s="1">
        <v>10</v>
      </c>
      <c r="J22" s="1" t="s">
        <v>12</v>
      </c>
      <c r="K22" s="1">
        <f>AVERAGE(D18:H25)</f>
        <v>7.5</v>
      </c>
    </row>
    <row r="23" spans="4:11">
      <c r="D23" s="1">
        <v>7</v>
      </c>
      <c r="E23" s="1">
        <v>8</v>
      </c>
      <c r="F23" s="1">
        <v>9</v>
      </c>
      <c r="G23" s="1">
        <v>10</v>
      </c>
      <c r="H23" s="1">
        <v>11</v>
      </c>
      <c r="J23" s="1" t="s">
        <v>13</v>
      </c>
      <c r="K23" s="1">
        <f>AVERAGE(D18:H18,D20:H20,D22:H22,D24:H24)</f>
        <v>7</v>
      </c>
    </row>
    <row r="24" spans="4:11">
      <c r="D24" s="1">
        <v>8</v>
      </c>
      <c r="E24" s="1">
        <v>9</v>
      </c>
      <c r="F24" s="1">
        <v>10</v>
      </c>
      <c r="G24" s="1">
        <v>11</v>
      </c>
      <c r="H24" s="1">
        <v>12</v>
      </c>
      <c r="J24" s="1" t="s">
        <v>14</v>
      </c>
      <c r="K24" s="1">
        <f>AVERAGE(D19:H19,D21:H21,D23:H23,D25:H25)</f>
        <v>8</v>
      </c>
    </row>
    <row r="25" spans="4:11">
      <c r="D25" s="1">
        <v>9</v>
      </c>
      <c r="E25" s="1">
        <v>10</v>
      </c>
      <c r="F25" s="1">
        <v>11</v>
      </c>
      <c r="G25" s="1">
        <v>12</v>
      </c>
      <c r="H25" s="1">
        <v>13</v>
      </c>
      <c r="J25" s="1" t="s">
        <v>15</v>
      </c>
      <c r="K25" s="1">
        <f>K23-K24</f>
        <v>-1</v>
      </c>
    </row>
    <row r="26" spans="4:11">
      <c r="J26" s="1" t="s">
        <v>16</v>
      </c>
      <c r="K26" s="1">
        <f>AVERAGE(D18:H25)+10</f>
        <v>17.5</v>
      </c>
    </row>
    <row r="27" spans="4:11">
      <c r="J27" s="1" t="s">
        <v>17</v>
      </c>
      <c r="K27" s="1">
        <f>MIN(D18:H25)</f>
        <v>2</v>
      </c>
    </row>
    <row r="28" spans="4:11">
      <c r="J28" s="1" t="s">
        <v>18</v>
      </c>
      <c r="K28" s="1">
        <f>MAX(D18:H25)</f>
        <v>13</v>
      </c>
    </row>
    <row r="36" spans="1:12">
      <c r="H36" s="6" t="s">
        <v>21</v>
      </c>
      <c r="I36" s="7"/>
      <c r="J36" s="4" t="s">
        <v>19</v>
      </c>
      <c r="K36" s="4" t="str">
        <f>TRIM(PROPER(J36))</f>
        <v>Aditya Arya From Pune</v>
      </c>
      <c r="L36" s="4" t="str">
        <f>PROPER(TRIM(J36))</f>
        <v>Aditya Arya From Pune</v>
      </c>
    </row>
    <row r="39" spans="1:12">
      <c r="I39" s="3" t="s">
        <v>20</v>
      </c>
      <c r="J39" s="4">
        <f>LEN(TRIM(J36))</f>
        <v>21</v>
      </c>
    </row>
    <row r="40" spans="1:12">
      <c r="I40" s="3"/>
      <c r="J40" s="4"/>
    </row>
    <row r="43" spans="1:12" ht="18.5">
      <c r="A43" s="15" t="s">
        <v>25</v>
      </c>
      <c r="B43" s="16"/>
      <c r="C43" s="16"/>
      <c r="D43" s="16"/>
      <c r="E43" s="16"/>
      <c r="F43" s="16"/>
      <c r="G43" s="16"/>
      <c r="H43" s="16"/>
    </row>
    <row r="44" spans="1:12">
      <c r="A44" s="17" t="s">
        <v>26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</row>
    <row r="45" spans="1:12">
      <c r="A45" s="18" t="s">
        <v>26</v>
      </c>
      <c r="B45">
        <v>1</v>
      </c>
      <c r="C45">
        <v>4</v>
      </c>
      <c r="D45">
        <v>7</v>
      </c>
      <c r="E45">
        <v>10</v>
      </c>
      <c r="F45">
        <v>13</v>
      </c>
      <c r="G45">
        <v>16</v>
      </c>
      <c r="H45">
        <v>19</v>
      </c>
    </row>
    <row r="46" spans="1:12">
      <c r="A46" s="18" t="s">
        <v>27</v>
      </c>
      <c r="B46" t="s">
        <v>28</v>
      </c>
      <c r="C46" t="s">
        <v>29</v>
      </c>
      <c r="D46" t="s">
        <v>28</v>
      </c>
      <c r="E46" t="s">
        <v>29</v>
      </c>
      <c r="F46" t="s">
        <v>28</v>
      </c>
      <c r="G46" t="s">
        <v>28</v>
      </c>
      <c r="H46" t="s">
        <v>29</v>
      </c>
    </row>
    <row r="47" spans="1:12">
      <c r="A47" s="18" t="s">
        <v>27</v>
      </c>
      <c r="B47" t="s">
        <v>30</v>
      </c>
      <c r="C47" t="s">
        <v>31</v>
      </c>
      <c r="D47" t="s">
        <v>30</v>
      </c>
      <c r="E47" t="s">
        <v>31</v>
      </c>
      <c r="F47" t="s">
        <v>30</v>
      </c>
      <c r="G47" t="s">
        <v>31</v>
      </c>
      <c r="H47" t="s">
        <v>30</v>
      </c>
    </row>
    <row r="48" spans="1:12">
      <c r="A48" s="18" t="s">
        <v>32</v>
      </c>
      <c r="B48" s="19" t="s">
        <v>32</v>
      </c>
    </row>
    <row r="49" spans="1:8">
      <c r="A49" s="18" t="s">
        <v>33</v>
      </c>
      <c r="B49" s="20" t="s">
        <v>34</v>
      </c>
      <c r="C49" s="20"/>
      <c r="D49" s="20"/>
    </row>
    <row r="50" spans="1:8">
      <c r="A50" s="18" t="s">
        <v>35</v>
      </c>
      <c r="B50">
        <v>1</v>
      </c>
    </row>
    <row r="51" spans="1:8">
      <c r="A51" s="18" t="s">
        <v>36</v>
      </c>
      <c r="B51" t="s">
        <v>29</v>
      </c>
    </row>
    <row r="52" spans="1:8">
      <c r="A52" s="18" t="s">
        <v>37</v>
      </c>
      <c r="B52" t="s">
        <v>38</v>
      </c>
    </row>
    <row r="53" spans="1:8">
      <c r="A53" s="21" t="s">
        <v>39</v>
      </c>
      <c r="B53">
        <v>1</v>
      </c>
      <c r="C53" s="22" t="s">
        <v>40</v>
      </c>
      <c r="D53" s="23">
        <v>36088</v>
      </c>
    </row>
    <row r="54" spans="1:8" ht="18.5">
      <c r="A54" s="24" t="s">
        <v>41</v>
      </c>
      <c r="B54" s="25"/>
      <c r="C54" s="25"/>
      <c r="D54" s="25"/>
      <c r="E54" s="25"/>
      <c r="F54" s="25"/>
      <c r="G54" s="25"/>
      <c r="H54" s="25"/>
    </row>
    <row r="55" spans="1:8">
      <c r="A55" s="26" t="s">
        <v>42</v>
      </c>
      <c r="B55" s="26"/>
      <c r="C55" s="26"/>
      <c r="D55" s="26"/>
      <c r="E55" s="26"/>
      <c r="F55" s="26"/>
      <c r="G55" s="26"/>
      <c r="H55" s="26"/>
    </row>
    <row r="56" spans="1:8">
      <c r="A56" s="17" t="s">
        <v>23</v>
      </c>
      <c r="B56">
        <v>1</v>
      </c>
      <c r="C56">
        <v>2</v>
      </c>
      <c r="D56">
        <v>3</v>
      </c>
      <c r="E56">
        <v>4</v>
      </c>
      <c r="F56">
        <v>5</v>
      </c>
      <c r="G56">
        <v>6</v>
      </c>
      <c r="H56">
        <f>SUM(B56:G56)</f>
        <v>21</v>
      </c>
    </row>
    <row r="57" spans="1:8">
      <c r="A57" s="18" t="s">
        <v>43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f>AVERAGE(B57:G57)</f>
        <v>3.5</v>
      </c>
    </row>
    <row r="58" spans="1:8">
      <c r="A58" s="18" t="s">
        <v>44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f>MAX(B58:G58)</f>
        <v>6</v>
      </c>
    </row>
    <row r="59" spans="1:8">
      <c r="A59" s="18" t="s">
        <v>45</v>
      </c>
      <c r="B59">
        <v>1</v>
      </c>
      <c r="C59">
        <v>2</v>
      </c>
      <c r="D59">
        <v>3</v>
      </c>
      <c r="E59">
        <v>4</v>
      </c>
      <c r="F59">
        <v>5</v>
      </c>
      <c r="G59">
        <v>6</v>
      </c>
      <c r="H59">
        <f>MIN(B59:G59)</f>
        <v>1</v>
      </c>
    </row>
    <row r="60" spans="1:8">
      <c r="A60" s="18" t="s">
        <v>46</v>
      </c>
      <c r="B60">
        <v>3.1429999999999998</v>
      </c>
      <c r="C60">
        <f>ROUND(B60,2)</f>
        <v>3.14</v>
      </c>
    </row>
    <row r="61" spans="1:8">
      <c r="A61" s="18" t="s">
        <v>47</v>
      </c>
      <c r="B61">
        <v>3.1429999999999998</v>
      </c>
      <c r="C61">
        <f>ROUNDUP(B61,1)</f>
        <v>3.2</v>
      </c>
    </row>
    <row r="62" spans="1:8">
      <c r="A62" s="18" t="s">
        <v>48</v>
      </c>
      <c r="B62">
        <v>3.1429999999999998</v>
      </c>
      <c r="C62">
        <f>ROUNDDOWN(B62,1)</f>
        <v>3.1</v>
      </c>
    </row>
    <row r="63" spans="1:8">
      <c r="A63" s="21" t="s">
        <v>49</v>
      </c>
      <c r="B63">
        <f ca="1">RAND()</f>
        <v>0.56214366334605836</v>
      </c>
    </row>
    <row r="64" spans="1:8">
      <c r="A64" s="26" t="s">
        <v>50</v>
      </c>
      <c r="B64" s="26"/>
      <c r="C64" s="26"/>
      <c r="D64" s="26"/>
      <c r="E64" s="26"/>
      <c r="F64" s="26"/>
      <c r="G64" s="26"/>
      <c r="H64" s="26"/>
    </row>
    <row r="65" spans="1:13">
      <c r="A65" s="17" t="s">
        <v>51</v>
      </c>
      <c r="B65">
        <v>1</v>
      </c>
      <c r="C65">
        <v>1</v>
      </c>
      <c r="D65" t="s">
        <v>28</v>
      </c>
      <c r="E65" t="s">
        <v>28</v>
      </c>
      <c r="F65" t="s">
        <v>28</v>
      </c>
      <c r="H65">
        <f>COUNT(B65:G65)</f>
        <v>2</v>
      </c>
    </row>
    <row r="66" spans="1:13">
      <c r="A66" s="18" t="s">
        <v>52</v>
      </c>
      <c r="B66">
        <v>1</v>
      </c>
      <c r="C66">
        <v>1</v>
      </c>
      <c r="D66" t="s">
        <v>28</v>
      </c>
      <c r="E66" t="s">
        <v>28</v>
      </c>
      <c r="F66" t="s">
        <v>28</v>
      </c>
      <c r="G66">
        <v>1</v>
      </c>
      <c r="H66">
        <f>COUNTA(B66:G66)</f>
        <v>6</v>
      </c>
    </row>
    <row r="67" spans="1:13">
      <c r="A67" s="21" t="s">
        <v>53</v>
      </c>
      <c r="B67">
        <v>10</v>
      </c>
      <c r="C67" s="2">
        <v>15</v>
      </c>
      <c r="D67" s="2">
        <v>20</v>
      </c>
      <c r="E67" s="2">
        <v>16</v>
      </c>
      <c r="F67" s="2">
        <v>18</v>
      </c>
      <c r="G67" s="2">
        <v>25</v>
      </c>
      <c r="H67">
        <f>COUNTIF(B67:G67,"&gt;=15")</f>
        <v>5</v>
      </c>
    </row>
    <row r="68" spans="1:13">
      <c r="A68" s="27" t="s">
        <v>54</v>
      </c>
      <c r="B68" s="28"/>
      <c r="C68" s="28"/>
      <c r="D68" s="28"/>
      <c r="E68" s="28"/>
      <c r="F68" s="28"/>
      <c r="G68" s="28"/>
      <c r="H68" s="29"/>
    </row>
    <row r="69" spans="1:13">
      <c r="A69" s="17" t="s">
        <v>55</v>
      </c>
      <c r="B69" s="30">
        <f ca="1">NOW()</f>
        <v>46076.149455439816</v>
      </c>
    </row>
    <row r="70" spans="1:13">
      <c r="A70" s="18" t="s">
        <v>56</v>
      </c>
      <c r="B70" s="23">
        <f ca="1">TODAY()</f>
        <v>46076</v>
      </c>
    </row>
    <row r="71" spans="1:13">
      <c r="A71" s="18" t="s">
        <v>57</v>
      </c>
      <c r="B71" s="23">
        <f>DATE(2023, 12, 6)</f>
        <v>45266</v>
      </c>
    </row>
    <row r="72" spans="1:13">
      <c r="A72" s="18" t="s">
        <v>58</v>
      </c>
      <c r="B72" s="31">
        <f>TIME(15, 30, 0)</f>
        <v>0.64583333333333337</v>
      </c>
    </row>
    <row r="73" spans="1:13">
      <c r="A73" s="18" t="s">
        <v>59</v>
      </c>
      <c r="B73" s="23">
        <f ca="1">TODAY()</f>
        <v>46076</v>
      </c>
      <c r="C73" s="23">
        <f>DATE(2023, 12, 8)</f>
        <v>45268</v>
      </c>
      <c r="D73" t="e">
        <f ca="1">DATEDIF(B73,C73,"d")</f>
        <v>#NUM!</v>
      </c>
    </row>
    <row r="74" spans="1:13">
      <c r="A74" s="18" t="s">
        <v>60</v>
      </c>
      <c r="B74" s="23">
        <f ca="1">TODAY()</f>
        <v>46076</v>
      </c>
      <c r="C74" s="23">
        <f>DATE(2020, 12, 8)</f>
        <v>44173</v>
      </c>
      <c r="D74">
        <f ca="1">DATEDIF(C74,B74,"m")</f>
        <v>62</v>
      </c>
    </row>
    <row r="75" spans="1:13">
      <c r="A75" s="18" t="s">
        <v>61</v>
      </c>
      <c r="B75" s="23">
        <f ca="1">TODAY()</f>
        <v>46076</v>
      </c>
      <c r="C75" s="23">
        <f>DATE(2020, 12, 8)</f>
        <v>44173</v>
      </c>
      <c r="D75">
        <f ca="1">DATEDIF(C75,B75,"y")</f>
        <v>5</v>
      </c>
    </row>
    <row r="76" spans="1:13">
      <c r="A76" s="21"/>
      <c r="B76" s="23"/>
      <c r="C76" s="23"/>
    </row>
    <row r="77" spans="1:13">
      <c r="A77" s="32" t="s">
        <v>62</v>
      </c>
      <c r="B77" s="32"/>
      <c r="C77" s="32"/>
      <c r="D77" s="32"/>
      <c r="E77" s="32"/>
      <c r="J77" s="35" t="s">
        <v>82</v>
      </c>
      <c r="K77" s="35" t="s">
        <v>83</v>
      </c>
      <c r="L77" s="35" t="s">
        <v>84</v>
      </c>
      <c r="M77" s="35" t="s">
        <v>96</v>
      </c>
    </row>
    <row r="78" spans="1:13">
      <c r="A78" s="33" t="s">
        <v>63</v>
      </c>
      <c r="B78" s="34" t="s">
        <v>64</v>
      </c>
      <c r="C78" s="34"/>
      <c r="D78" s="34"/>
      <c r="E78" s="34"/>
      <c r="J78" s="1" t="s">
        <v>87</v>
      </c>
      <c r="K78" s="1">
        <v>-34</v>
      </c>
      <c r="L78" s="1" t="str">
        <f>IF(K78&gt;18,"Eligible","Not Eligible")</f>
        <v>Not Eligible</v>
      </c>
      <c r="M78" s="1" t="str">
        <f>IF(AND(K78&gt;18,K78&lt;0),"Eligible","Not Eligible")</f>
        <v>Not Eligible</v>
      </c>
    </row>
    <row r="79" spans="1:13">
      <c r="A79" s="1" t="s">
        <v>65</v>
      </c>
      <c r="B79" s="1" t="s">
        <v>66</v>
      </c>
      <c r="C79" s="1" t="s">
        <v>67</v>
      </c>
      <c r="D79" s="1" t="str">
        <f>CONCATENATE(B79,C79)</f>
        <v>Aditya AryaData Science</v>
      </c>
      <c r="E79" s="1" t="str">
        <f>CONCATENATE(B79, " ",C79)</f>
        <v>Aditya Arya Data Science</v>
      </c>
      <c r="J79" s="1" t="s">
        <v>88</v>
      </c>
      <c r="K79" s="1">
        <v>43</v>
      </c>
      <c r="L79" s="1" t="str">
        <f t="shared" ref="L79:L86" si="2">IF(K79&gt;18,"Eligible","Not Eligible")</f>
        <v>Eligible</v>
      </c>
      <c r="M79" s="1" t="str">
        <f>IF(AND(K79&gt;18,K79&gt;0),"Eligible","Not Eligible")</f>
        <v>Eligible</v>
      </c>
    </row>
    <row r="80" spans="1:13">
      <c r="A80" s="1" t="s">
        <v>68</v>
      </c>
      <c r="B80" s="1" t="s">
        <v>66</v>
      </c>
      <c r="C80" s="1" t="str">
        <f>LEFT(B80,3)</f>
        <v>Adi</v>
      </c>
      <c r="D80" s="1"/>
      <c r="E80" s="1"/>
      <c r="J80" s="1" t="s">
        <v>89</v>
      </c>
      <c r="K80" s="1">
        <v>22</v>
      </c>
      <c r="L80" s="1" t="str">
        <f t="shared" si="2"/>
        <v>Eligible</v>
      </c>
      <c r="M80" s="1" t="str">
        <f>IF(AND(K80&gt;18,K80&gt;0),"Eligible","Not Eligible")</f>
        <v>Eligible</v>
      </c>
    </row>
    <row r="81" spans="1:13">
      <c r="A81" s="1" t="s">
        <v>69</v>
      </c>
      <c r="B81" s="1" t="s">
        <v>66</v>
      </c>
      <c r="C81" s="1" t="str">
        <f>RIGHT(B81,3)</f>
        <v>rya</v>
      </c>
      <c r="D81" s="1"/>
      <c r="E81" s="1"/>
      <c r="J81" s="1" t="s">
        <v>90</v>
      </c>
      <c r="K81" s="1" t="s">
        <v>28</v>
      </c>
      <c r="L81" s="1" t="str">
        <f t="shared" si="2"/>
        <v>Eligible</v>
      </c>
      <c r="M81" s="1" t="str">
        <f>IF(AND(K81&gt;18,K81&gt;0),"Eligible","Not Eligible")</f>
        <v>Eligible</v>
      </c>
    </row>
    <row r="82" spans="1:13">
      <c r="A82" s="1" t="s">
        <v>70</v>
      </c>
      <c r="B82" s="1" t="s">
        <v>66</v>
      </c>
      <c r="C82" s="1">
        <f>LEN(B82)</f>
        <v>11</v>
      </c>
      <c r="D82" s="1"/>
      <c r="E82" s="1"/>
      <c r="J82" s="1" t="s">
        <v>91</v>
      </c>
      <c r="K82" s="1">
        <v>24</v>
      </c>
      <c r="L82" s="1" t="str">
        <f t="shared" si="2"/>
        <v>Eligible</v>
      </c>
      <c r="M82" s="1" t="str">
        <f t="shared" ref="M82:M86" si="3">IF(AND(K82&gt;18,K82&gt;0),"Eligible","Not Eligible")</f>
        <v>Eligible</v>
      </c>
    </row>
    <row r="83" spans="1:13">
      <c r="A83" s="1" t="s">
        <v>71</v>
      </c>
      <c r="B83" s="1" t="s">
        <v>66</v>
      </c>
      <c r="C83" s="1" t="str">
        <f>MID(B83,4,8)</f>
        <v>tya Arya</v>
      </c>
      <c r="D83" s="1"/>
      <c r="E83" s="1"/>
      <c r="J83" s="1" t="s">
        <v>92</v>
      </c>
      <c r="K83" s="1">
        <v>17</v>
      </c>
      <c r="L83" s="1" t="str">
        <f t="shared" si="2"/>
        <v>Not Eligible</v>
      </c>
      <c r="M83" s="1" t="str">
        <f t="shared" si="3"/>
        <v>Not Eligible</v>
      </c>
    </row>
    <row r="84" spans="1:13">
      <c r="A84" s="1" t="s">
        <v>72</v>
      </c>
      <c r="B84" s="1" t="s">
        <v>66</v>
      </c>
      <c r="C84" s="1" t="str">
        <f>LOWER(B84)</f>
        <v>aditya arya</v>
      </c>
      <c r="D84" s="1"/>
      <c r="E84" s="1"/>
      <c r="J84" s="1" t="s">
        <v>93</v>
      </c>
      <c r="K84" s="1">
        <v>89</v>
      </c>
      <c r="L84" s="1" t="str">
        <f t="shared" si="2"/>
        <v>Eligible</v>
      </c>
      <c r="M84" s="1" t="str">
        <f t="shared" si="3"/>
        <v>Eligible</v>
      </c>
    </row>
    <row r="85" spans="1:13">
      <c r="A85" s="1" t="s">
        <v>73</v>
      </c>
      <c r="B85" s="1" t="s">
        <v>66</v>
      </c>
      <c r="C85" s="1" t="str">
        <f>UPPER(B85)</f>
        <v>ADITYA ARYA</v>
      </c>
      <c r="D85" s="1"/>
      <c r="E85" s="1"/>
      <c r="J85" s="1" t="s">
        <v>94</v>
      </c>
      <c r="K85" s="1">
        <v>150</v>
      </c>
      <c r="L85" s="1" t="str">
        <f t="shared" si="2"/>
        <v>Eligible</v>
      </c>
      <c r="M85" s="1" t="str">
        <f t="shared" si="3"/>
        <v>Eligible</v>
      </c>
    </row>
    <row r="86" spans="1:13">
      <c r="A86" s="1" t="s">
        <v>74</v>
      </c>
      <c r="B86" s="1" t="s">
        <v>66</v>
      </c>
      <c r="C86" s="1" t="str">
        <f>PROPER(B86)</f>
        <v>Aditya Arya</v>
      </c>
      <c r="D86" s="1"/>
      <c r="E86" s="1"/>
      <c r="J86" s="1" t="s">
        <v>95</v>
      </c>
      <c r="K86" s="1">
        <v>35</v>
      </c>
      <c r="L86" s="1" t="str">
        <f t="shared" si="2"/>
        <v>Eligible</v>
      </c>
      <c r="M86" s="1" t="str">
        <f t="shared" si="3"/>
        <v>Eligible</v>
      </c>
    </row>
    <row r="87" spans="1:13">
      <c r="A87" s="1" t="s">
        <v>75</v>
      </c>
      <c r="B87" s="1" t="s">
        <v>66</v>
      </c>
      <c r="C87" s="1" t="str">
        <f>TRIM(B87)</f>
        <v>Aditya Arya</v>
      </c>
      <c r="D87" s="1"/>
      <c r="E87" s="1"/>
    </row>
    <row r="88" spans="1:13">
      <c r="A88" s="1" t="s">
        <v>76</v>
      </c>
      <c r="B88" s="1" t="s">
        <v>66</v>
      </c>
      <c r="C88" s="1" t="e">
        <f>FIND("AD",B88)</f>
        <v>#VALUE!</v>
      </c>
      <c r="D88" s="1">
        <f>FIND("Ad",B88)</f>
        <v>1</v>
      </c>
      <c r="E88" s="1" t="s">
        <v>85</v>
      </c>
    </row>
    <row r="89" spans="1:13">
      <c r="A89" s="1" t="s">
        <v>77</v>
      </c>
      <c r="B89" s="1" t="s">
        <v>66</v>
      </c>
      <c r="C89" s="1">
        <f>SEARCH("AD",B89)</f>
        <v>1</v>
      </c>
      <c r="D89" s="1">
        <f>FIND("Ad",B89)</f>
        <v>1</v>
      </c>
      <c r="E89" s="1" t="s">
        <v>86</v>
      </c>
    </row>
    <row r="90" spans="1:13">
      <c r="A90" s="1" t="s">
        <v>78</v>
      </c>
      <c r="B90" s="1" t="s">
        <v>66</v>
      </c>
      <c r="C90" s="1" t="str">
        <f>REPLACE(B90,3,2,"-")</f>
        <v>Ad-ya Arya</v>
      </c>
      <c r="D90" s="1"/>
      <c r="E90" s="1"/>
    </row>
    <row r="91" spans="1:13">
      <c r="A91" s="1" t="s">
        <v>79</v>
      </c>
      <c r="B91" s="1" t="s">
        <v>66</v>
      </c>
      <c r="C91" s="1" t="e" cm="1">
        <f t="array" aca="1" ref="C91" ca="1">TEXTSPLIT(B91)</f>
        <v>#NAME?</v>
      </c>
      <c r="D91" s="1"/>
      <c r="E91" s="1"/>
    </row>
    <row r="92" spans="1:13">
      <c r="A92" s="1" t="s">
        <v>80</v>
      </c>
      <c r="B92" s="1" t="s">
        <v>66</v>
      </c>
      <c r="C92" s="1" t="s">
        <v>81</v>
      </c>
      <c r="D92" s="1" t="str">
        <f>_xlfn.TEXTJOIN("_",TRUE,B92:C92)</f>
        <v>Aditya Arya_DS</v>
      </c>
      <c r="E92" s="1"/>
    </row>
  </sheetData>
  <mergeCells count="10">
    <mergeCell ref="A64:H64"/>
    <mergeCell ref="A68:H68"/>
    <mergeCell ref="A77:E77"/>
    <mergeCell ref="B78:E78"/>
    <mergeCell ref="I39:I40"/>
    <mergeCell ref="H36:I36"/>
    <mergeCell ref="A43:H43"/>
    <mergeCell ref="B49:D49"/>
    <mergeCell ref="A54:H54"/>
    <mergeCell ref="A55:H55"/>
  </mergeCells>
  <pageMargins left="0.7" right="0.7" top="0.75" bottom="0.75" header="0.3" footer="0.3"/>
  <ignoredErrors>
    <ignoredError sqref="I2 I3:I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Aditya Arya</cp:lastModifiedBy>
  <dcterms:created xsi:type="dcterms:W3CDTF">2026-01-03T11:38:07Z</dcterms:created>
  <dcterms:modified xsi:type="dcterms:W3CDTF">2026-02-22T22:06:11Z</dcterms:modified>
</cp:coreProperties>
</file>